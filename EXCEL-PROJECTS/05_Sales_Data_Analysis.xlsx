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</sheets>
  <calcPr calcId="124519"/>
</workbook>
</file>

<file path=xl/calcChain.xml><?xml version="1.0" encoding="utf-8"?>
<calcChain xmlns="http://schemas.openxmlformats.org/spreadsheetml/2006/main">
  <c r="P5" i="1"/>
  <c r="P4"/>
  <c r="P3"/>
  <c r="P2"/>
  <c r="M4"/>
  <c r="M3"/>
  <c r="M2"/>
  <c r="J3"/>
  <c r="J2"/>
  <c r="G3"/>
  <c r="G4"/>
  <c r="G5"/>
  <c r="G6"/>
  <c r="G7"/>
  <c r="G2"/>
</calcChain>
</file>

<file path=xl/sharedStrings.xml><?xml version="1.0" encoding="utf-8"?>
<sst xmlns="http://schemas.openxmlformats.org/spreadsheetml/2006/main" count="37" uniqueCount="20">
  <si>
    <t>Order ID</t>
  </si>
  <si>
    <t>Product</t>
  </si>
  <si>
    <t>Region</t>
  </si>
  <si>
    <t>Quantity</t>
  </si>
  <si>
    <t>Price</t>
  </si>
  <si>
    <t>Date</t>
  </si>
  <si>
    <t>Laptop</t>
  </si>
  <si>
    <t>North</t>
  </si>
  <si>
    <t>Mobile</t>
  </si>
  <si>
    <t>South</t>
  </si>
  <si>
    <t>Tablet</t>
  </si>
  <si>
    <t>East</t>
  </si>
  <si>
    <t>West</t>
  </si>
  <si>
    <t>Total Sales</t>
  </si>
  <si>
    <t>Month</t>
  </si>
  <si>
    <t>Jan</t>
  </si>
  <si>
    <t>Feb</t>
  </si>
  <si>
    <t>Laptop has highest total sales</t>
  </si>
  <si>
    <t>North region generates most revenue</t>
  </si>
  <si>
    <t>February sales higher than January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</si>
</sst>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NumberFormat="1" applyAlignment="1">
      <alignment horizontal="left" wrapText="1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Sales Trend</a:t>
            </a:r>
            <a:endParaRPr lang="en-US"/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Sheet1!$J$1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Sheet1!$I$2:$I$3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Sheet1!$J$2:$J$3</c:f>
              <c:numCache>
                <c:formatCode>General</c:formatCode>
                <c:ptCount val="2"/>
                <c:pt idx="0">
                  <c:v>165000</c:v>
                </c:pt>
                <c:pt idx="1">
                  <c:v>140000</c:v>
                </c:pt>
              </c:numCache>
            </c:numRef>
          </c:val>
        </c:ser>
        <c:shape val="box"/>
        <c:axId val="93343744"/>
        <c:axId val="93346816"/>
        <c:axId val="0"/>
      </c:bar3DChart>
      <c:catAx>
        <c:axId val="93343744"/>
        <c:scaling>
          <c:orientation val="minMax"/>
        </c:scaling>
        <c:axPos val="b"/>
        <c:tickLblPos val="nextTo"/>
        <c:crossAx val="93346816"/>
        <c:crosses val="autoZero"/>
        <c:auto val="1"/>
        <c:lblAlgn val="ctr"/>
        <c:lblOffset val="100"/>
      </c:catAx>
      <c:valAx>
        <c:axId val="93346816"/>
        <c:scaling>
          <c:orientation val="minMax"/>
        </c:scaling>
        <c:axPos val="l"/>
        <c:majorGridlines/>
        <c:numFmt formatCode="General" sourceLinked="1"/>
        <c:tickLblPos val="nextTo"/>
        <c:crossAx val="933437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Product-wise Sales</a:t>
            </a:r>
            <a:endParaRPr lang="en-US"/>
          </a:p>
        </c:rich>
      </c:tx>
      <c:layout/>
    </c:title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Sheet1!$M$1</c:f>
              <c:strCache>
                <c:ptCount val="1"/>
                <c:pt idx="0">
                  <c:v>Total Sales</c:v>
                </c:pt>
              </c:strCache>
            </c:strRef>
          </c:tx>
          <c:cat>
            <c:strRef>
              <c:f>Sheet1!$L$2:$L$4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Sheet1!$M$2:$M$4</c:f>
              <c:numCache>
                <c:formatCode>General</c:formatCode>
                <c:ptCount val="3"/>
                <c:pt idx="0">
                  <c:v>150000</c:v>
                </c:pt>
                <c:pt idx="1">
                  <c:v>75000</c:v>
                </c:pt>
                <c:pt idx="2">
                  <c:v>80000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200026</xdr:colOff>
      <xdr:row>8</xdr:row>
      <xdr:rowOff>114300</xdr:rowOff>
    </xdr:from>
    <xdr:to>
      <xdr:col>10</xdr:col>
      <xdr:colOff>571501</xdr:colOff>
      <xdr:row>20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104776</xdr:colOff>
      <xdr:row>8</xdr:row>
      <xdr:rowOff>95250</xdr:rowOff>
    </xdr:from>
    <xdr:to>
      <xdr:col>16</xdr:col>
      <xdr:colOff>762000</xdr:colOff>
      <xdr:row>20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>
      <selection activeCell="D24" sqref="D24"/>
    </sheetView>
  </sheetViews>
  <sheetFormatPr defaultRowHeight="15"/>
  <cols>
    <col min="6" max="6" width="10.42578125" bestFit="1" customWidth="1"/>
    <col min="7" max="7" width="11" customWidth="1"/>
    <col min="10" max="10" width="10.7109375" customWidth="1"/>
    <col min="12" max="12" width="11.42578125" customWidth="1"/>
    <col min="13" max="13" width="13.7109375" customWidth="1"/>
    <col min="16" max="16" width="13.28515625" customWidth="1"/>
    <col min="17" max="17" width="14" customWidth="1"/>
    <col min="21" max="21" width="13.28515625" customWidth="1"/>
  </cols>
  <sheetData>
    <row r="1" spans="1:2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I1" s="1" t="s">
        <v>14</v>
      </c>
      <c r="J1" s="1" t="s">
        <v>13</v>
      </c>
      <c r="K1" s="1"/>
      <c r="L1" s="1" t="s">
        <v>1</v>
      </c>
      <c r="M1" s="1" t="s">
        <v>13</v>
      </c>
      <c r="O1" s="1" t="s">
        <v>2</v>
      </c>
      <c r="P1" s="1" t="s">
        <v>13</v>
      </c>
      <c r="Q1" s="1"/>
      <c r="T1" s="1"/>
      <c r="U1" s="1"/>
    </row>
    <row r="2" spans="1:21">
      <c r="A2" s="4">
        <v>1001</v>
      </c>
      <c r="B2" s="2" t="s">
        <v>6</v>
      </c>
      <c r="C2" s="2" t="s">
        <v>7</v>
      </c>
      <c r="D2" s="4">
        <v>2</v>
      </c>
      <c r="E2" s="4">
        <v>50000</v>
      </c>
      <c r="F2" s="3">
        <v>46023</v>
      </c>
      <c r="G2">
        <f>D2*E2</f>
        <v>100000</v>
      </c>
      <c r="I2" s="2" t="s">
        <v>15</v>
      </c>
      <c r="J2" s="5">
        <f>SUMIFS(G:G,F:F, "&gt;=01-01-2026",F:F, "&lt;=31-01-2026")</f>
        <v>165000</v>
      </c>
      <c r="K2" s="2"/>
      <c r="L2" s="2" t="s">
        <v>6</v>
      </c>
      <c r="M2" s="2">
        <f>SUMIF(B:B,"Laptop",G:G)</f>
        <v>150000</v>
      </c>
      <c r="O2" s="2" t="s">
        <v>7</v>
      </c>
      <c r="P2" s="2">
        <f>SUMIF(C:C,"North",G:G)</f>
        <v>130000</v>
      </c>
      <c r="Q2" s="2"/>
      <c r="T2" s="2"/>
      <c r="U2" s="2"/>
    </row>
    <row r="3" spans="1:21">
      <c r="A3" s="4">
        <v>1002</v>
      </c>
      <c r="B3" s="2" t="s">
        <v>8</v>
      </c>
      <c r="C3" s="2" t="s">
        <v>9</v>
      </c>
      <c r="D3" s="4">
        <v>3</v>
      </c>
      <c r="E3" s="4">
        <v>15000</v>
      </c>
      <c r="F3" s="3">
        <v>46024</v>
      </c>
      <c r="G3">
        <f t="shared" ref="G3:G7" si="0">D3*E3</f>
        <v>45000</v>
      </c>
      <c r="I3" s="2" t="s">
        <v>16</v>
      </c>
      <c r="J3" s="5">
        <f>SUMIFS(G:G,F:F, "&gt;=01-02-2026",F:F, "&lt;=28-02-2026")</f>
        <v>140000</v>
      </c>
      <c r="K3" s="2"/>
      <c r="L3" s="2" t="s">
        <v>8</v>
      </c>
      <c r="M3" s="2">
        <f>SUMIF(B:B,"Mobile",G:G)</f>
        <v>75000</v>
      </c>
      <c r="O3" s="2" t="s">
        <v>9</v>
      </c>
      <c r="P3" s="2">
        <f>SUMIF(C:C,"South",G:G)</f>
        <v>105000</v>
      </c>
      <c r="Q3" s="2"/>
      <c r="T3" s="2"/>
      <c r="U3" s="2"/>
    </row>
    <row r="4" spans="1:21">
      <c r="A4" s="4">
        <v>1003</v>
      </c>
      <c r="B4" s="2" t="s">
        <v>10</v>
      </c>
      <c r="C4" s="2" t="s">
        <v>11</v>
      </c>
      <c r="D4" s="4">
        <v>1</v>
      </c>
      <c r="E4" s="4">
        <v>20000</v>
      </c>
      <c r="F4" s="3">
        <v>46027</v>
      </c>
      <c r="G4">
        <f t="shared" si="0"/>
        <v>20000</v>
      </c>
      <c r="L4" s="2" t="s">
        <v>10</v>
      </c>
      <c r="M4" s="2">
        <f>SUMIF(B:B,"Tablet",G:G)</f>
        <v>80000</v>
      </c>
      <c r="O4" s="2" t="s">
        <v>11</v>
      </c>
      <c r="P4" s="2">
        <f>SUMIF(C:C,"East",G:G)</f>
        <v>20000</v>
      </c>
      <c r="Q4" s="2"/>
      <c r="T4" s="2"/>
      <c r="U4" s="2"/>
    </row>
    <row r="5" spans="1:21">
      <c r="A5" s="4">
        <v>1004</v>
      </c>
      <c r="B5" s="2" t="s">
        <v>6</v>
      </c>
      <c r="C5" s="2" t="s">
        <v>12</v>
      </c>
      <c r="D5" s="4">
        <v>1</v>
      </c>
      <c r="E5" s="4">
        <v>50000</v>
      </c>
      <c r="F5" s="3">
        <v>46063</v>
      </c>
      <c r="G5">
        <f t="shared" si="0"/>
        <v>50000</v>
      </c>
      <c r="O5" s="2" t="s">
        <v>12</v>
      </c>
      <c r="P5" s="2">
        <f>SUMIF(C:C,"West",G:G)</f>
        <v>50000</v>
      </c>
      <c r="T5" s="2"/>
      <c r="U5" s="2"/>
    </row>
    <row r="6" spans="1:21">
      <c r="A6" s="4">
        <v>1005</v>
      </c>
      <c r="B6" s="2" t="s">
        <v>8</v>
      </c>
      <c r="C6" s="2" t="s">
        <v>7</v>
      </c>
      <c r="D6" s="4">
        <v>2</v>
      </c>
      <c r="E6" s="4">
        <v>15000</v>
      </c>
      <c r="F6" s="3">
        <v>46065</v>
      </c>
      <c r="G6">
        <f t="shared" si="0"/>
        <v>30000</v>
      </c>
    </row>
    <row r="7" spans="1:21">
      <c r="A7" s="4">
        <v>1006</v>
      </c>
      <c r="B7" s="2" t="s">
        <v>10</v>
      </c>
      <c r="C7" s="2" t="s">
        <v>9</v>
      </c>
      <c r="D7" s="4">
        <v>3</v>
      </c>
      <c r="E7" s="4">
        <v>20000</v>
      </c>
      <c r="F7" s="3">
        <v>46068</v>
      </c>
      <c r="G7">
        <f t="shared" si="0"/>
        <v>60000</v>
      </c>
    </row>
  </sheetData>
  <conditionalFormatting sqref="G2:G7">
    <cfRule type="cellIs" dxfId="2" priority="2" operator="greaterThan">
      <formula>80000</formula>
    </cfRule>
  </conditionalFormatting>
  <conditionalFormatting sqref="G3:G7">
    <cfRule type="cellIs" dxfId="0" priority="1" operator="lessThan">
      <formula>30000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10" sqref="A10"/>
    </sheetView>
  </sheetViews>
  <sheetFormatPr defaultRowHeight="15"/>
  <cols>
    <col min="1" max="1" width="36.42578125" customWidth="1"/>
  </cols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2026-02-12T11:56:19Z</dcterms:created>
  <dcterms:modified xsi:type="dcterms:W3CDTF">2026-02-12T12:27:24Z</dcterms:modified>
</cp:coreProperties>
</file>