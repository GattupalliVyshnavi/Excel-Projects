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7" i="1"/>
  <c r="I5"/>
  <c r="I4"/>
  <c r="I3"/>
  <c r="I2"/>
  <c r="D9"/>
</calcChain>
</file>

<file path=xl/sharedStrings.xml><?xml version="1.0" encoding="utf-8"?>
<sst xmlns="http://schemas.openxmlformats.org/spreadsheetml/2006/main" count="28" uniqueCount="20">
  <si>
    <t>Date</t>
  </si>
  <si>
    <t>Category</t>
  </si>
  <si>
    <t>Amount</t>
  </si>
  <si>
    <t>Food</t>
  </si>
  <si>
    <t>Breakfast</t>
  </si>
  <si>
    <t>Travel</t>
  </si>
  <si>
    <t>Bus fare</t>
  </si>
  <si>
    <t>Shopping</t>
  </si>
  <si>
    <t>Clothes</t>
  </si>
  <si>
    <t>Lunch</t>
  </si>
  <si>
    <t>Rent</t>
  </si>
  <si>
    <t>Auto</t>
  </si>
  <si>
    <t>Room Rent</t>
  </si>
  <si>
    <t>Description</t>
  </si>
  <si>
    <t>Total Expense</t>
  </si>
  <si>
    <t>Total Spent</t>
  </si>
  <si>
    <t>Highest Spending Category</t>
  </si>
  <si>
    <t>Highest expense is Rent</t>
  </si>
  <si>
    <t>Shopping is second highest</t>
  </si>
  <si>
    <t>Food expenses are controlled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</si>
</sst>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Expense Distribution</a:t>
            </a:r>
            <a:endParaRPr lang="en-US"/>
          </a:p>
        </c:rich>
      </c:tx>
      <c:layout>
        <c:manualLayout>
          <c:xMode val="edge"/>
          <c:yMode val="edge"/>
          <c:x val="0.18239588801399825"/>
          <c:y val="2.7777777777777776E-2"/>
        </c:manualLayout>
      </c:layout>
    </c:title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Sheet1!$I$1</c:f>
              <c:strCache>
                <c:ptCount val="1"/>
                <c:pt idx="0">
                  <c:v>Total Spent</c:v>
                </c:pt>
              </c:strCache>
            </c:strRef>
          </c:tx>
          <c:explosion val="25"/>
          <c:cat>
            <c:strRef>
              <c:f>Sheet1!$H$2:$H$18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Rent</c:v>
                </c:pt>
                <c:pt idx="4">
                  <c:v>Highest Spending Category</c:v>
                </c:pt>
                <c:pt idx="5">
                  <c:v>Rent</c:v>
                </c:pt>
              </c:strCache>
            </c:strRef>
          </c:cat>
          <c:val>
            <c:numRef>
              <c:f>Sheet1!$I$2:$I$18</c:f>
              <c:numCache>
                <c:formatCode>General</c:formatCode>
                <c:ptCount val="17"/>
                <c:pt idx="0">
                  <c:v>300</c:v>
                </c:pt>
                <c:pt idx="1">
                  <c:v>150</c:v>
                </c:pt>
                <c:pt idx="2">
                  <c:v>1500</c:v>
                </c:pt>
                <c:pt idx="3">
                  <c:v>5000</c:v>
                </c:pt>
                <c:pt idx="5">
                  <c:v>5000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8</xdr:row>
      <xdr:rowOff>19050</xdr:rowOff>
    </xdr:from>
    <xdr:to>
      <xdr:col>9</xdr:col>
      <xdr:colOff>314325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>
      <selection activeCell="K14" sqref="K14"/>
    </sheetView>
  </sheetViews>
  <sheetFormatPr defaultRowHeight="15"/>
  <cols>
    <col min="1" max="1" width="15.42578125" customWidth="1"/>
    <col min="2" max="3" width="18.140625" customWidth="1"/>
    <col min="4" max="4" width="18" customWidth="1"/>
    <col min="8" max="8" width="27.28515625" customWidth="1"/>
    <col min="9" max="9" width="27.5703125" customWidth="1"/>
  </cols>
  <sheetData>
    <row r="1" spans="1:9">
      <c r="A1" s="5" t="s">
        <v>0</v>
      </c>
      <c r="B1" s="5" t="s">
        <v>1</v>
      </c>
      <c r="C1" s="5" t="s">
        <v>13</v>
      </c>
      <c r="D1" s="5" t="s">
        <v>2</v>
      </c>
      <c r="H1" s="5" t="s">
        <v>1</v>
      </c>
      <c r="I1" s="5" t="s">
        <v>15</v>
      </c>
    </row>
    <row r="2" spans="1:9">
      <c r="A2" s="2">
        <v>46023</v>
      </c>
      <c r="B2" t="s">
        <v>3</v>
      </c>
      <c r="C2" t="s">
        <v>4</v>
      </c>
      <c r="D2" s="3">
        <v>120</v>
      </c>
      <c r="H2" t="s">
        <v>3</v>
      </c>
      <c r="I2" s="3">
        <f>SUMIF(B2:B5,"Food",D2:D5)</f>
        <v>300</v>
      </c>
    </row>
    <row r="3" spans="1:9">
      <c r="A3" s="2">
        <v>46023</v>
      </c>
      <c r="B3" t="s">
        <v>5</v>
      </c>
      <c r="C3" t="s">
        <v>6</v>
      </c>
      <c r="D3" s="3">
        <v>50</v>
      </c>
      <c r="H3" t="s">
        <v>5</v>
      </c>
      <c r="I3" s="3">
        <f>SUMIF(B3:B7,"Travel",D3:D7)</f>
        <v>150</v>
      </c>
    </row>
    <row r="4" spans="1:9">
      <c r="A4" s="2">
        <v>46024</v>
      </c>
      <c r="B4" t="s">
        <v>7</v>
      </c>
      <c r="C4" t="s">
        <v>8</v>
      </c>
      <c r="D4" s="3">
        <v>1500</v>
      </c>
      <c r="H4" t="s">
        <v>7</v>
      </c>
      <c r="I4" s="3">
        <f>SUMIF(B4:B4,"Shopping",D4:D4)</f>
        <v>1500</v>
      </c>
    </row>
    <row r="5" spans="1:9">
      <c r="A5" s="2">
        <v>46024</v>
      </c>
      <c r="B5" t="s">
        <v>3</v>
      </c>
      <c r="C5" t="s">
        <v>9</v>
      </c>
      <c r="D5" s="3">
        <v>180</v>
      </c>
      <c r="H5" t="s">
        <v>10</v>
      </c>
      <c r="I5" s="3">
        <f>SUMIF(B6:B6,"Rent",D6:D6)</f>
        <v>5000</v>
      </c>
    </row>
    <row r="6" spans="1:9">
      <c r="A6" s="2">
        <v>46025</v>
      </c>
      <c r="B6" t="s">
        <v>10</v>
      </c>
      <c r="C6" t="s">
        <v>12</v>
      </c>
      <c r="D6" s="3">
        <v>5000</v>
      </c>
      <c r="H6" s="5" t="s">
        <v>16</v>
      </c>
      <c r="I6" s="5"/>
    </row>
    <row r="7" spans="1:9">
      <c r="A7" s="2">
        <v>46025</v>
      </c>
      <c r="B7" t="s">
        <v>5</v>
      </c>
      <c r="C7" t="s">
        <v>11</v>
      </c>
      <c r="D7" s="3">
        <v>100</v>
      </c>
      <c r="H7" t="s">
        <v>10</v>
      </c>
      <c r="I7" s="3">
        <f>MAX(I2:I5)</f>
        <v>5000</v>
      </c>
    </row>
    <row r="8" spans="1:9">
      <c r="D8" s="5" t="s">
        <v>14</v>
      </c>
    </row>
    <row r="9" spans="1:9">
      <c r="D9" s="3">
        <f>SUM(D2:D7)</f>
        <v>6950</v>
      </c>
    </row>
    <row r="12" spans="1:9">
      <c r="A12" s="4"/>
      <c r="B12" s="4"/>
    </row>
    <row r="13" spans="1:9">
      <c r="A13" s="1"/>
      <c r="B13" s="1"/>
    </row>
    <row r="14" spans="1:9">
      <c r="A14" s="1"/>
      <c r="B14" s="1"/>
    </row>
    <row r="15" spans="1:9">
      <c r="A15" s="1"/>
      <c r="B15" s="1"/>
    </row>
    <row r="16" spans="1:9">
      <c r="A16" s="1"/>
      <c r="B16" s="1"/>
    </row>
  </sheetData>
  <conditionalFormatting sqref="D2:D7">
    <cfRule type="cellIs" dxfId="0" priority="1" operator="greaterThan">
      <formula>1000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6" sqref="B6"/>
    </sheetView>
  </sheetViews>
  <sheetFormatPr defaultRowHeight="15"/>
  <cols>
    <col min="1" max="1" width="27.140625" customWidth="1"/>
  </cols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2026-02-12T10:18:46Z</dcterms:created>
  <dcterms:modified xsi:type="dcterms:W3CDTF">2026-02-12T10:58:30Z</dcterms:modified>
</cp:coreProperties>
</file>