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60" windowWidth="20055" windowHeight="7950" activeTab="4"/>
  </bookViews>
  <sheets>
    <sheet name="Sheet6" sheetId="6" r:id="rId1"/>
    <sheet name="Sheet7" sheetId="7" r:id="rId2"/>
    <sheet name="Sheet2" sheetId="9" r:id="rId3"/>
    <sheet name="Sheet1" sheetId="1" r:id="rId4"/>
    <sheet name="Sheet10" sheetId="10" r:id="rId5"/>
    <sheet name="Sheet3" sheetId="11" r:id="rId6"/>
  </sheets>
  <calcPr calcId="124519"/>
  <pivotCaches>
    <pivotCache cacheId="0" r:id="rId7"/>
  </pivotCaches>
</workbook>
</file>

<file path=xl/calcChain.xml><?xml version="1.0" encoding="utf-8"?>
<calcChain xmlns="http://schemas.openxmlformats.org/spreadsheetml/2006/main">
  <c r="D2" i="10"/>
  <c r="C2"/>
  <c r="B2"/>
  <c r="A2"/>
  <c r="I3" i="1"/>
  <c r="I4"/>
  <c r="I5"/>
  <c r="I6"/>
  <c r="I7"/>
  <c r="I2"/>
</calcChain>
</file>

<file path=xl/sharedStrings.xml><?xml version="1.0" encoding="utf-8"?>
<sst xmlns="http://schemas.openxmlformats.org/spreadsheetml/2006/main" count="81" uniqueCount="40">
  <si>
    <t>Order ID</t>
  </si>
  <si>
    <t>Customer</t>
  </si>
  <si>
    <t>Product</t>
  </si>
  <si>
    <t>Category</t>
  </si>
  <si>
    <t>Quantity</t>
  </si>
  <si>
    <t>Price</t>
  </si>
  <si>
    <t>Region</t>
  </si>
  <si>
    <t>Date</t>
  </si>
  <si>
    <t>Ravi</t>
  </si>
  <si>
    <t>Laptop</t>
  </si>
  <si>
    <t>Electronics</t>
  </si>
  <si>
    <t>North</t>
  </si>
  <si>
    <t>Sita</t>
  </si>
  <si>
    <t>Mobile</t>
  </si>
  <si>
    <t>South</t>
  </si>
  <si>
    <t>John</t>
  </si>
  <si>
    <t>Shoes</t>
  </si>
  <si>
    <t>Fashion</t>
  </si>
  <si>
    <t>East</t>
  </si>
  <si>
    <t>Anu</t>
  </si>
  <si>
    <t>West</t>
  </si>
  <si>
    <t>Raj</t>
  </si>
  <si>
    <t>Dress</t>
  </si>
  <si>
    <t>Meena</t>
  </si>
  <si>
    <t>Total Amount</t>
  </si>
  <si>
    <t>Row Labels</t>
  </si>
  <si>
    <t>Grand Total</t>
  </si>
  <si>
    <t>Sum of Total Amount</t>
  </si>
  <si>
    <t>Jan</t>
  </si>
  <si>
    <t>Feb</t>
  </si>
  <si>
    <t>Product-wise Sales</t>
  </si>
  <si>
    <t>Customer-wise Sales</t>
  </si>
  <si>
    <t>Monthly sales</t>
  </si>
  <si>
    <t>Total Revenue</t>
  </si>
  <si>
    <t>Total Orders</t>
  </si>
  <si>
    <t>Electronics category gives highest revenue</t>
  </si>
  <si>
    <t>Laptop is top product</t>
  </si>
  <si>
    <t>North region generates most sales</t>
  </si>
  <si>
    <t>Top Product</t>
  </si>
  <si>
    <t>Top Customer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</si>
</sst>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0" fontId="4" fillId="0" borderId="2" xfId="0" applyFont="1" applyBorder="1"/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[07_Ecommerce_Sales_Dashboard.xlsx]Sheet6!PivotTable3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Product-wise Sales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percentStack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Sheet6!$A$4:$A$13</c:f>
              <c:multiLvlStrCache>
                <c:ptCount val="5"/>
                <c:lvl>
                  <c:pt idx="0">
                    <c:v>North</c:v>
                  </c:pt>
                  <c:pt idx="1">
                    <c:v>North</c:v>
                  </c:pt>
                  <c:pt idx="2">
                    <c:v>West</c:v>
                  </c:pt>
                  <c:pt idx="3">
                    <c:v>South</c:v>
                  </c:pt>
                  <c:pt idx="4">
                    <c:v>East</c:v>
                  </c:pt>
                </c:lvl>
                <c:lvl>
                  <c:pt idx="0">
                    <c:v>Dress</c:v>
                  </c:pt>
                  <c:pt idx="1">
                    <c:v>Laptop</c:v>
                  </c:pt>
                  <c:pt idx="3">
                    <c:v>Mobile</c:v>
                  </c:pt>
                  <c:pt idx="4">
                    <c:v>Shoes</c:v>
                  </c:pt>
                </c:lvl>
              </c:multiLvlStrCache>
            </c:multiLvlStrRef>
          </c:cat>
          <c:val>
            <c:numRef>
              <c:f>Sheet6!$B$4:$B$13</c:f>
              <c:numCache>
                <c:formatCode>General</c:formatCode>
                <c:ptCount val="5"/>
                <c:pt idx="0">
                  <c:v>6000</c:v>
                </c:pt>
                <c:pt idx="1">
                  <c:v>50000</c:v>
                </c:pt>
                <c:pt idx="2">
                  <c:v>50000</c:v>
                </c:pt>
                <c:pt idx="3">
                  <c:v>45000</c:v>
                </c:pt>
                <c:pt idx="4">
                  <c:v>6000</c:v>
                </c:pt>
              </c:numCache>
            </c:numRef>
          </c:val>
        </c:ser>
        <c:shape val="box"/>
        <c:axId val="116348032"/>
        <c:axId val="116349568"/>
        <c:axId val="0"/>
      </c:bar3DChart>
      <c:catAx>
        <c:axId val="116348032"/>
        <c:scaling>
          <c:orientation val="minMax"/>
        </c:scaling>
        <c:axPos val="l"/>
        <c:tickLblPos val="nextTo"/>
        <c:crossAx val="116349568"/>
        <c:crosses val="autoZero"/>
        <c:auto val="1"/>
        <c:lblAlgn val="ctr"/>
        <c:lblOffset val="100"/>
      </c:catAx>
      <c:valAx>
        <c:axId val="116349568"/>
        <c:scaling>
          <c:orientation val="minMax"/>
        </c:scaling>
        <c:axPos val="b"/>
        <c:majorGridlines/>
        <c:numFmt formatCode="0%" sourceLinked="1"/>
        <c:tickLblPos val="nextTo"/>
        <c:crossAx val="1163480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[07_Ecommerce_Sales_Dashboard.xlsx]Sheet7!PivotTable4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Customer-wise Sales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perspective val="30"/>
    </c:view3D>
    <c:plotArea>
      <c:layout/>
      <c:bar3DChart>
        <c:barDir val="col"/>
        <c:grouping val="standard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Sheet7!$A$4:$A$16</c:f>
              <c:multiLvlStrCache>
                <c:ptCount val="6"/>
                <c:lvl>
                  <c:pt idx="0">
                    <c:v>West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North</c:v>
                  </c:pt>
                  <c:pt idx="5">
                    <c:v>South</c:v>
                  </c:pt>
                </c:lvl>
                <c:lvl>
                  <c:pt idx="0">
                    <c:v>Anu</c:v>
                  </c:pt>
                  <c:pt idx="1">
                    <c:v>John</c:v>
                  </c:pt>
                  <c:pt idx="2">
                    <c:v>Meena</c:v>
                  </c:pt>
                  <c:pt idx="3">
                    <c:v>Raj</c:v>
                  </c:pt>
                  <c:pt idx="4">
                    <c:v>Ravi</c:v>
                  </c:pt>
                  <c:pt idx="5">
                    <c:v>Sita</c:v>
                  </c:pt>
                </c:lvl>
              </c:multiLvlStrCache>
            </c:multiLvlStrRef>
          </c:cat>
          <c:val>
            <c:numRef>
              <c:f>Sheet7!$B$4:$B$16</c:f>
              <c:numCache>
                <c:formatCode>General</c:formatCode>
                <c:ptCount val="6"/>
                <c:pt idx="0">
                  <c:v>50000</c:v>
                </c:pt>
                <c:pt idx="1">
                  <c:v>6000</c:v>
                </c:pt>
                <c:pt idx="2">
                  <c:v>15000</c:v>
                </c:pt>
                <c:pt idx="3">
                  <c:v>6000</c:v>
                </c:pt>
                <c:pt idx="4">
                  <c:v>50000</c:v>
                </c:pt>
                <c:pt idx="5">
                  <c:v>30000</c:v>
                </c:pt>
              </c:numCache>
            </c:numRef>
          </c:val>
        </c:ser>
        <c:shape val="box"/>
        <c:axId val="116690304"/>
        <c:axId val="117179520"/>
        <c:axId val="116088320"/>
      </c:bar3DChart>
      <c:catAx>
        <c:axId val="116690304"/>
        <c:scaling>
          <c:orientation val="minMax"/>
        </c:scaling>
        <c:axPos val="b"/>
        <c:tickLblPos val="nextTo"/>
        <c:crossAx val="117179520"/>
        <c:crosses val="autoZero"/>
        <c:auto val="1"/>
        <c:lblAlgn val="ctr"/>
        <c:lblOffset val="100"/>
      </c:catAx>
      <c:valAx>
        <c:axId val="117179520"/>
        <c:scaling>
          <c:orientation val="minMax"/>
        </c:scaling>
        <c:axPos val="l"/>
        <c:majorGridlines/>
        <c:numFmt formatCode="General" sourceLinked="1"/>
        <c:tickLblPos val="nextTo"/>
        <c:crossAx val="116690304"/>
        <c:crosses val="autoZero"/>
        <c:crossBetween val="between"/>
      </c:valAx>
      <c:serAx>
        <c:axId val="116088320"/>
        <c:scaling>
          <c:orientation val="minMax"/>
        </c:scaling>
        <c:axPos val="b"/>
        <c:tickLblPos val="nextTo"/>
        <c:crossAx val="117179520"/>
        <c:crosses val="autoZero"/>
      </c:ser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[07_Ecommerce_Sales_Dashboard.xlsx]Sheet2!PivotTable6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Montly</a:t>
            </a:r>
            <a:r>
              <a:rPr lang="en-US" baseline="0"/>
              <a:t> Sales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perspective val="30"/>
    </c:view3D>
    <c:plotArea>
      <c:layout/>
      <c:line3DChart>
        <c:grouping val="standar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Sheet2!$A$4:$A$12</c:f>
              <c:multiLvlStrCache>
                <c:ptCount val="6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</c:lvl>
              </c:multiLvlStrCache>
            </c:multiLvlStrRef>
          </c:cat>
          <c:val>
            <c:numRef>
              <c:f>Sheet2!$B$4:$B$12</c:f>
              <c:numCache>
                <c:formatCode>General</c:formatCode>
                <c:ptCount val="6"/>
                <c:pt idx="0">
                  <c:v>6000</c:v>
                </c:pt>
                <c:pt idx="1">
                  <c:v>50000</c:v>
                </c:pt>
                <c:pt idx="2">
                  <c:v>30000</c:v>
                </c:pt>
                <c:pt idx="3">
                  <c:v>6000</c:v>
                </c:pt>
                <c:pt idx="4">
                  <c:v>15000</c:v>
                </c:pt>
                <c:pt idx="5">
                  <c:v>50000</c:v>
                </c:pt>
              </c:numCache>
            </c:numRef>
          </c:val>
        </c:ser>
        <c:axId val="117312128"/>
        <c:axId val="117318016"/>
        <c:axId val="116684096"/>
      </c:line3DChart>
      <c:catAx>
        <c:axId val="117312128"/>
        <c:scaling>
          <c:orientation val="minMax"/>
        </c:scaling>
        <c:axPos val="b"/>
        <c:tickLblPos val="nextTo"/>
        <c:crossAx val="117318016"/>
        <c:crosses val="autoZero"/>
        <c:auto val="1"/>
        <c:lblAlgn val="ctr"/>
        <c:lblOffset val="100"/>
      </c:catAx>
      <c:valAx>
        <c:axId val="117318016"/>
        <c:scaling>
          <c:orientation val="minMax"/>
        </c:scaling>
        <c:axPos val="l"/>
        <c:majorGridlines/>
        <c:numFmt formatCode="General" sourceLinked="1"/>
        <c:tickLblPos val="nextTo"/>
        <c:crossAx val="117312128"/>
        <c:crosses val="autoZero"/>
        <c:crossBetween val="between"/>
      </c:valAx>
      <c:serAx>
        <c:axId val="116684096"/>
        <c:scaling>
          <c:orientation val="minMax"/>
        </c:scaling>
        <c:axPos val="b"/>
        <c:tickLblPos val="nextTo"/>
        <c:crossAx val="117318016"/>
        <c:crosses val="autoZero"/>
      </c:ser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[07_Ecommerce_Sales_Dashboard.xlsx]Sheet6!PivotTable3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Product-wise 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percentStacked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Sheet6!$A$4:$A$13</c:f>
              <c:multiLvlStrCache>
                <c:ptCount val="5"/>
                <c:lvl>
                  <c:pt idx="0">
                    <c:v>North</c:v>
                  </c:pt>
                  <c:pt idx="1">
                    <c:v>North</c:v>
                  </c:pt>
                  <c:pt idx="2">
                    <c:v>West</c:v>
                  </c:pt>
                  <c:pt idx="3">
                    <c:v>South</c:v>
                  </c:pt>
                  <c:pt idx="4">
                    <c:v>East</c:v>
                  </c:pt>
                </c:lvl>
                <c:lvl>
                  <c:pt idx="0">
                    <c:v>Dress</c:v>
                  </c:pt>
                  <c:pt idx="1">
                    <c:v>Laptop</c:v>
                  </c:pt>
                  <c:pt idx="3">
                    <c:v>Mobile</c:v>
                  </c:pt>
                  <c:pt idx="4">
                    <c:v>Shoes</c:v>
                  </c:pt>
                </c:lvl>
              </c:multiLvlStrCache>
            </c:multiLvlStrRef>
          </c:cat>
          <c:val>
            <c:numRef>
              <c:f>Sheet6!$B$4:$B$13</c:f>
              <c:numCache>
                <c:formatCode>General</c:formatCode>
                <c:ptCount val="5"/>
                <c:pt idx="0">
                  <c:v>6000</c:v>
                </c:pt>
                <c:pt idx="1">
                  <c:v>50000</c:v>
                </c:pt>
                <c:pt idx="2">
                  <c:v>50000</c:v>
                </c:pt>
                <c:pt idx="3">
                  <c:v>45000</c:v>
                </c:pt>
                <c:pt idx="4">
                  <c:v>6000</c:v>
                </c:pt>
              </c:numCache>
            </c:numRef>
          </c:val>
        </c:ser>
        <c:shape val="box"/>
        <c:axId val="157286400"/>
        <c:axId val="168518400"/>
        <c:axId val="0"/>
      </c:bar3DChart>
      <c:catAx>
        <c:axId val="157286400"/>
        <c:scaling>
          <c:orientation val="minMax"/>
        </c:scaling>
        <c:axPos val="l"/>
        <c:tickLblPos val="nextTo"/>
        <c:crossAx val="168518400"/>
        <c:crosses val="autoZero"/>
        <c:auto val="1"/>
        <c:lblAlgn val="ctr"/>
        <c:lblOffset val="100"/>
      </c:catAx>
      <c:valAx>
        <c:axId val="168518400"/>
        <c:scaling>
          <c:orientation val="minMax"/>
        </c:scaling>
        <c:axPos val="b"/>
        <c:majorGridlines/>
        <c:numFmt formatCode="0%" sourceLinked="1"/>
        <c:tickLblPos val="nextTo"/>
        <c:crossAx val="157286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[07_Ecommerce_Sales_Dashboard.xlsx]Sheet7!PivotTable4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Customer-wise 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perspective val="30"/>
    </c:view3D>
    <c:plotArea>
      <c:layout/>
      <c:bar3DChart>
        <c:barDir val="col"/>
        <c:grouping val="standard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Sheet7!$A$4:$A$16</c:f>
              <c:multiLvlStrCache>
                <c:ptCount val="6"/>
                <c:lvl>
                  <c:pt idx="0">
                    <c:v>West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North</c:v>
                  </c:pt>
                  <c:pt idx="5">
                    <c:v>South</c:v>
                  </c:pt>
                </c:lvl>
                <c:lvl>
                  <c:pt idx="0">
                    <c:v>Anu</c:v>
                  </c:pt>
                  <c:pt idx="1">
                    <c:v>John</c:v>
                  </c:pt>
                  <c:pt idx="2">
                    <c:v>Meena</c:v>
                  </c:pt>
                  <c:pt idx="3">
                    <c:v>Raj</c:v>
                  </c:pt>
                  <c:pt idx="4">
                    <c:v>Ravi</c:v>
                  </c:pt>
                  <c:pt idx="5">
                    <c:v>Sita</c:v>
                  </c:pt>
                </c:lvl>
              </c:multiLvlStrCache>
            </c:multiLvlStrRef>
          </c:cat>
          <c:val>
            <c:numRef>
              <c:f>Sheet7!$B$4:$B$16</c:f>
              <c:numCache>
                <c:formatCode>General</c:formatCode>
                <c:ptCount val="6"/>
                <c:pt idx="0">
                  <c:v>50000</c:v>
                </c:pt>
                <c:pt idx="1">
                  <c:v>6000</c:v>
                </c:pt>
                <c:pt idx="2">
                  <c:v>15000</c:v>
                </c:pt>
                <c:pt idx="3">
                  <c:v>6000</c:v>
                </c:pt>
                <c:pt idx="4">
                  <c:v>50000</c:v>
                </c:pt>
                <c:pt idx="5">
                  <c:v>30000</c:v>
                </c:pt>
              </c:numCache>
            </c:numRef>
          </c:val>
        </c:ser>
        <c:shape val="box"/>
        <c:axId val="115988352"/>
        <c:axId val="115989888"/>
        <c:axId val="102411328"/>
      </c:bar3DChart>
      <c:catAx>
        <c:axId val="115988352"/>
        <c:scaling>
          <c:orientation val="minMax"/>
        </c:scaling>
        <c:axPos val="b"/>
        <c:tickLblPos val="nextTo"/>
        <c:crossAx val="115989888"/>
        <c:crosses val="autoZero"/>
        <c:auto val="1"/>
        <c:lblAlgn val="ctr"/>
        <c:lblOffset val="100"/>
      </c:catAx>
      <c:valAx>
        <c:axId val="115989888"/>
        <c:scaling>
          <c:orientation val="minMax"/>
        </c:scaling>
        <c:axPos val="l"/>
        <c:majorGridlines/>
        <c:numFmt formatCode="General" sourceLinked="1"/>
        <c:tickLblPos val="nextTo"/>
        <c:crossAx val="115988352"/>
        <c:crosses val="autoZero"/>
        <c:crossBetween val="between"/>
      </c:valAx>
      <c:serAx>
        <c:axId val="102411328"/>
        <c:scaling>
          <c:orientation val="minMax"/>
        </c:scaling>
        <c:axPos val="b"/>
        <c:tickLblPos val="nextTo"/>
        <c:crossAx val="115989888"/>
        <c:crosses val="autoZero"/>
      </c:ser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[07_Ecommerce_Sales_Dashboard.xlsx]Sheet2!PivotTable6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Montly</a:t>
            </a:r>
            <a:r>
              <a:rPr lang="en-US" baseline="0"/>
              <a:t> Sales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perspective val="30"/>
    </c:view3D>
    <c:plotArea>
      <c:layout/>
      <c:line3DChart>
        <c:grouping val="standar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Sheet2!$A$4:$A$12</c:f>
              <c:multiLvlStrCache>
                <c:ptCount val="6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</c:lvl>
              </c:multiLvlStrCache>
            </c:multiLvlStrRef>
          </c:cat>
          <c:val>
            <c:numRef>
              <c:f>Sheet2!$B$4:$B$12</c:f>
              <c:numCache>
                <c:formatCode>General</c:formatCode>
                <c:ptCount val="6"/>
                <c:pt idx="0">
                  <c:v>6000</c:v>
                </c:pt>
                <c:pt idx="1">
                  <c:v>50000</c:v>
                </c:pt>
                <c:pt idx="2">
                  <c:v>30000</c:v>
                </c:pt>
                <c:pt idx="3">
                  <c:v>6000</c:v>
                </c:pt>
                <c:pt idx="4">
                  <c:v>15000</c:v>
                </c:pt>
                <c:pt idx="5">
                  <c:v>50000</c:v>
                </c:pt>
              </c:numCache>
            </c:numRef>
          </c:val>
        </c:ser>
        <c:axId val="106084992"/>
        <c:axId val="106096128"/>
        <c:axId val="106036736"/>
      </c:line3DChart>
      <c:catAx>
        <c:axId val="106084992"/>
        <c:scaling>
          <c:orientation val="minMax"/>
        </c:scaling>
        <c:axPos val="b"/>
        <c:tickLblPos val="nextTo"/>
        <c:crossAx val="106096128"/>
        <c:crosses val="autoZero"/>
        <c:auto val="1"/>
        <c:lblAlgn val="ctr"/>
        <c:lblOffset val="100"/>
      </c:catAx>
      <c:valAx>
        <c:axId val="106096128"/>
        <c:scaling>
          <c:orientation val="minMax"/>
        </c:scaling>
        <c:axPos val="l"/>
        <c:majorGridlines/>
        <c:numFmt formatCode="General" sourceLinked="1"/>
        <c:tickLblPos val="nextTo"/>
        <c:crossAx val="106084992"/>
        <c:crosses val="autoZero"/>
        <c:crossBetween val="between"/>
      </c:valAx>
      <c:serAx>
        <c:axId val="106036736"/>
        <c:scaling>
          <c:orientation val="minMax"/>
        </c:scaling>
        <c:axPos val="b"/>
        <c:tickLblPos val="nextTo"/>
        <c:crossAx val="106096128"/>
        <c:crosses val="autoZero"/>
      </c:ser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152399</xdr:rowOff>
    </xdr:from>
    <xdr:to>
      <xdr:col>12</xdr:col>
      <xdr:colOff>352425</xdr:colOff>
      <xdr:row>19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180975</xdr:rowOff>
    </xdr:from>
    <xdr:to>
      <xdr:col>11</xdr:col>
      <xdr:colOff>171450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161925</xdr:rowOff>
    </xdr:from>
    <xdr:to>
      <xdr:col>11</xdr:col>
      <xdr:colOff>0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962025</xdr:colOff>
      <xdr:row>3</xdr:row>
      <xdr:rowOff>95250</xdr:rowOff>
    </xdr:from>
    <xdr:to>
      <xdr:col>5</xdr:col>
      <xdr:colOff>133350</xdr:colOff>
      <xdr:row>19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3</xdr:row>
      <xdr:rowOff>95250</xdr:rowOff>
    </xdr:from>
    <xdr:to>
      <xdr:col>11</xdr:col>
      <xdr:colOff>9525</xdr:colOff>
      <xdr:row>19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3</xdr:row>
      <xdr:rowOff>95250</xdr:rowOff>
    </xdr:from>
    <xdr:to>
      <xdr:col>2</xdr:col>
      <xdr:colOff>857250</xdr:colOff>
      <xdr:row>19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5.762890162034" createdVersion="3" refreshedVersion="3" minRefreshableVersion="3" recordCount="6">
  <cacheSource type="worksheet">
    <worksheetSource ref="A1:I7" sheet="Sheet1"/>
  </cacheSource>
  <cacheFields count="9">
    <cacheField name="Order ID" numFmtId="0">
      <sharedItems containsSemiMixedTypes="0" containsString="0" containsNumber="1" containsInteger="1" minValue="5001" maxValue="5006"/>
    </cacheField>
    <cacheField name="Customer" numFmtId="0">
      <sharedItems count="6">
        <s v="Ravi"/>
        <s v="Sita"/>
        <s v="John"/>
        <s v="Anu"/>
        <s v="Raj"/>
        <s v="Meena"/>
      </sharedItems>
    </cacheField>
    <cacheField name="Product" numFmtId="0">
      <sharedItems count="4">
        <s v="Laptop"/>
        <s v="Mobile"/>
        <s v="Shoes"/>
        <s v="Dress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2000" maxValue="50000"/>
    </cacheField>
    <cacheField name="Region" numFmtId="0">
      <sharedItems count="4">
        <s v="North"/>
        <s v="South"/>
        <s v="East"/>
        <s v="West"/>
      </sharedItems>
    </cacheField>
    <cacheField name="Date" numFmtId="14">
      <sharedItems containsSemiMixedTypes="0" containsNonDate="0" containsDate="1" containsString="0" minDate="2026-01-01T00:00:00" maxDate="2026-02-16T00:00:00" count="6">
        <d v="2026-01-01T00:00:00"/>
        <d v="2026-01-03T00:00:00"/>
        <d v="2026-01-05T00:00:00"/>
        <d v="2026-02-10T00:00:00"/>
        <d v="2026-02-12T00:00:00"/>
        <d v="2026-02-15T00:00:00"/>
      </sharedItems>
      <fieldGroup base="7">
        <rangePr groupBy="months" startDate="2026-01-01T00:00:00" endDate="2026-02-16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2-2026"/>
        </groupItems>
      </fieldGroup>
    </cacheField>
    <cacheField name="Total Amount" numFmtId="0">
      <sharedItems containsSemiMixedTypes="0" containsString="0" containsNumber="1" containsInteger="1" minValue="6000" maxValue="5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5001"/>
    <x v="0"/>
    <x v="0"/>
    <s v="Electronics"/>
    <n v="1"/>
    <n v="50000"/>
    <x v="0"/>
    <x v="0"/>
    <n v="50000"/>
  </r>
  <r>
    <n v="5002"/>
    <x v="1"/>
    <x v="1"/>
    <s v="Electronics"/>
    <n v="2"/>
    <n v="15000"/>
    <x v="1"/>
    <x v="1"/>
    <n v="30000"/>
  </r>
  <r>
    <n v="5003"/>
    <x v="2"/>
    <x v="2"/>
    <s v="Fashion"/>
    <n v="3"/>
    <n v="2000"/>
    <x v="2"/>
    <x v="2"/>
    <n v="6000"/>
  </r>
  <r>
    <n v="5004"/>
    <x v="3"/>
    <x v="0"/>
    <s v="Electronics"/>
    <n v="1"/>
    <n v="50000"/>
    <x v="3"/>
    <x v="3"/>
    <n v="50000"/>
  </r>
  <r>
    <n v="5005"/>
    <x v="4"/>
    <x v="3"/>
    <s v="Fashion"/>
    <n v="2"/>
    <n v="3000"/>
    <x v="0"/>
    <x v="4"/>
    <n v="6000"/>
  </r>
  <r>
    <n v="5006"/>
    <x v="5"/>
    <x v="1"/>
    <s v="Electronics"/>
    <n v="1"/>
    <n v="15000"/>
    <x v="1"/>
    <x v="5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13" firstHeaderRow="1" firstDataRow="1" firstDataCol="1"/>
  <pivotFields count="9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14" showAll="0"/>
    <pivotField dataField="1" showAll="0"/>
  </pivotFields>
  <rowFields count="2">
    <field x="2"/>
    <field x="6"/>
  </rowFields>
  <rowItems count="10">
    <i>
      <x/>
    </i>
    <i r="1">
      <x v="1"/>
    </i>
    <i>
      <x v="1"/>
    </i>
    <i r="1">
      <x v="1"/>
    </i>
    <i r="1">
      <x v="3"/>
    </i>
    <i>
      <x v="2"/>
    </i>
    <i r="1">
      <x v="2"/>
    </i>
    <i>
      <x v="3"/>
    </i>
    <i r="1">
      <x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6" firstHeaderRow="1" firstDataRow="1" firstDataCol="1"/>
  <pivotFields count="9">
    <pivotField showAll="0"/>
    <pivotField axis="axisRow" showAll="0">
      <items count="7">
        <item x="3"/>
        <item x="2"/>
        <item x="5"/>
        <item x="4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14" showAll="0"/>
    <pivotField dataField="1" showAll="0"/>
  </pivotFields>
  <rowFields count="2">
    <field x="1"/>
    <field x="6"/>
  </rowFields>
  <rowItems count="13">
    <i>
      <x/>
    </i>
    <i r="1">
      <x v="3"/>
    </i>
    <i>
      <x v="1"/>
    </i>
    <i r="1">
      <x/>
    </i>
    <i>
      <x v="2"/>
    </i>
    <i r="1">
      <x v="2"/>
    </i>
    <i>
      <x v="3"/>
    </i>
    <i r="1">
      <x v="1"/>
    </i>
    <i>
      <x v="4"/>
    </i>
    <i r="1">
      <x v="1"/>
    </i>
    <i>
      <x v="5"/>
    </i>
    <i r="1">
      <x v="2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2">
    <field x="7"/>
    <field x="6"/>
  </rowFields>
  <rowItems count="9">
    <i>
      <x v="1"/>
    </i>
    <i r="1">
      <x/>
    </i>
    <i r="1">
      <x v="1"/>
    </i>
    <i r="1">
      <x v="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N20" sqref="N20"/>
    </sheetView>
  </sheetViews>
  <sheetFormatPr defaultRowHeight="15"/>
  <cols>
    <col min="1" max="1" width="13.140625" bestFit="1" customWidth="1"/>
    <col min="2" max="2" width="19.85546875" bestFit="1" customWidth="1"/>
    <col min="3" max="3" width="9.140625" style="9"/>
  </cols>
  <sheetData>
    <row r="1" spans="1:2">
      <c r="A1" s="20" t="s">
        <v>30</v>
      </c>
      <c r="B1" s="21"/>
    </row>
    <row r="2" spans="1:2">
      <c r="A2" s="21"/>
      <c r="B2" s="21"/>
    </row>
    <row r="3" spans="1:2">
      <c r="A3" s="5" t="s">
        <v>25</v>
      </c>
      <c r="B3" t="s">
        <v>27</v>
      </c>
    </row>
    <row r="4" spans="1:2">
      <c r="A4" s="8" t="s">
        <v>22</v>
      </c>
      <c r="B4" s="7">
        <v>6000</v>
      </c>
    </row>
    <row r="5" spans="1:2">
      <c r="A5" s="10" t="s">
        <v>11</v>
      </c>
      <c r="B5" s="7">
        <v>6000</v>
      </c>
    </row>
    <row r="6" spans="1:2">
      <c r="A6" s="8" t="s">
        <v>9</v>
      </c>
      <c r="B6" s="7">
        <v>100000</v>
      </c>
    </row>
    <row r="7" spans="1:2">
      <c r="A7" s="10" t="s">
        <v>11</v>
      </c>
      <c r="B7" s="7">
        <v>50000</v>
      </c>
    </row>
    <row r="8" spans="1:2">
      <c r="A8" s="10" t="s">
        <v>20</v>
      </c>
      <c r="B8" s="7">
        <v>50000</v>
      </c>
    </row>
    <row r="9" spans="1:2">
      <c r="A9" s="8" t="s">
        <v>13</v>
      </c>
      <c r="B9" s="7">
        <v>45000</v>
      </c>
    </row>
    <row r="10" spans="1:2">
      <c r="A10" s="10" t="s">
        <v>14</v>
      </c>
      <c r="B10" s="7">
        <v>45000</v>
      </c>
    </row>
    <row r="11" spans="1:2">
      <c r="A11" s="8" t="s">
        <v>16</v>
      </c>
      <c r="B11" s="7">
        <v>6000</v>
      </c>
    </row>
    <row r="12" spans="1:2">
      <c r="A12" s="10" t="s">
        <v>18</v>
      </c>
      <c r="B12" s="7">
        <v>6000</v>
      </c>
    </row>
    <row r="13" spans="1:2">
      <c r="A13" s="8" t="s">
        <v>26</v>
      </c>
      <c r="B13" s="7">
        <v>157000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selection activeCell="O14" sqref="O14"/>
    </sheetView>
  </sheetViews>
  <sheetFormatPr defaultRowHeight="15"/>
  <cols>
    <col min="1" max="1" width="13.140625" bestFit="1" customWidth="1"/>
    <col min="2" max="2" width="19.85546875" bestFit="1" customWidth="1"/>
  </cols>
  <sheetData>
    <row r="1" spans="1:2">
      <c r="A1" s="20" t="s">
        <v>31</v>
      </c>
      <c r="B1" s="20"/>
    </row>
    <row r="2" spans="1:2">
      <c r="A2" s="20"/>
      <c r="B2" s="20"/>
    </row>
    <row r="3" spans="1:2">
      <c r="A3" s="5" t="s">
        <v>25</v>
      </c>
      <c r="B3" t="s">
        <v>27</v>
      </c>
    </row>
    <row r="4" spans="1:2">
      <c r="A4" s="8" t="s">
        <v>19</v>
      </c>
      <c r="B4" s="7">
        <v>50000</v>
      </c>
    </row>
    <row r="5" spans="1:2">
      <c r="A5" s="10" t="s">
        <v>20</v>
      </c>
      <c r="B5" s="7">
        <v>50000</v>
      </c>
    </row>
    <row r="6" spans="1:2">
      <c r="A6" s="8" t="s">
        <v>15</v>
      </c>
      <c r="B6" s="7">
        <v>6000</v>
      </c>
    </row>
    <row r="7" spans="1:2">
      <c r="A7" s="10" t="s">
        <v>18</v>
      </c>
      <c r="B7" s="7">
        <v>6000</v>
      </c>
    </row>
    <row r="8" spans="1:2">
      <c r="A8" s="8" t="s">
        <v>23</v>
      </c>
      <c r="B8" s="7">
        <v>15000</v>
      </c>
    </row>
    <row r="9" spans="1:2">
      <c r="A9" s="10" t="s">
        <v>14</v>
      </c>
      <c r="B9" s="7">
        <v>15000</v>
      </c>
    </row>
    <row r="10" spans="1:2">
      <c r="A10" s="8" t="s">
        <v>21</v>
      </c>
      <c r="B10" s="7">
        <v>6000</v>
      </c>
    </row>
    <row r="11" spans="1:2">
      <c r="A11" s="10" t="s">
        <v>11</v>
      </c>
      <c r="B11" s="7">
        <v>6000</v>
      </c>
    </row>
    <row r="12" spans="1:2">
      <c r="A12" s="8" t="s">
        <v>8</v>
      </c>
      <c r="B12" s="7">
        <v>50000</v>
      </c>
    </row>
    <row r="13" spans="1:2">
      <c r="A13" s="10" t="s">
        <v>11</v>
      </c>
      <c r="B13" s="7">
        <v>50000</v>
      </c>
    </row>
    <row r="14" spans="1:2">
      <c r="A14" s="8" t="s">
        <v>12</v>
      </c>
      <c r="B14" s="7">
        <v>30000</v>
      </c>
    </row>
    <row r="15" spans="1:2">
      <c r="A15" s="10" t="s">
        <v>14</v>
      </c>
      <c r="B15" s="7">
        <v>30000</v>
      </c>
    </row>
    <row r="16" spans="1:2">
      <c r="A16" s="8" t="s">
        <v>26</v>
      </c>
      <c r="B16" s="7">
        <v>157000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N7" sqref="N7"/>
    </sheetView>
  </sheetViews>
  <sheetFormatPr defaultRowHeight="15"/>
  <cols>
    <col min="1" max="1" width="13.140625" bestFit="1" customWidth="1"/>
    <col min="2" max="2" width="19.85546875" bestFit="1" customWidth="1"/>
    <col min="3" max="3" width="9.140625" style="9"/>
  </cols>
  <sheetData>
    <row r="1" spans="1:2">
      <c r="A1" s="22" t="s">
        <v>32</v>
      </c>
      <c r="B1" s="23"/>
    </row>
    <row r="2" spans="1:2">
      <c r="A2" s="23"/>
      <c r="B2" s="23"/>
    </row>
    <row r="3" spans="1:2">
      <c r="A3" s="5" t="s">
        <v>25</v>
      </c>
      <c r="B3" t="s">
        <v>27</v>
      </c>
    </row>
    <row r="4" spans="1:2">
      <c r="A4" s="6" t="s">
        <v>28</v>
      </c>
      <c r="B4" s="7">
        <v>86000</v>
      </c>
    </row>
    <row r="5" spans="1:2">
      <c r="A5" s="10" t="s">
        <v>18</v>
      </c>
      <c r="B5" s="7">
        <v>6000</v>
      </c>
    </row>
    <row r="6" spans="1:2">
      <c r="A6" s="10" t="s">
        <v>11</v>
      </c>
      <c r="B6" s="7">
        <v>50000</v>
      </c>
    </row>
    <row r="7" spans="1:2">
      <c r="A7" s="10" t="s">
        <v>14</v>
      </c>
      <c r="B7" s="7">
        <v>30000</v>
      </c>
    </row>
    <row r="8" spans="1:2">
      <c r="A8" s="6" t="s">
        <v>29</v>
      </c>
      <c r="B8" s="7">
        <v>71000</v>
      </c>
    </row>
    <row r="9" spans="1:2">
      <c r="A9" s="10" t="s">
        <v>11</v>
      </c>
      <c r="B9" s="7">
        <v>6000</v>
      </c>
    </row>
    <row r="10" spans="1:2">
      <c r="A10" s="10" t="s">
        <v>14</v>
      </c>
      <c r="B10" s="7">
        <v>15000</v>
      </c>
    </row>
    <row r="11" spans="1:2">
      <c r="A11" s="10" t="s">
        <v>20</v>
      </c>
      <c r="B11" s="7">
        <v>50000</v>
      </c>
    </row>
    <row r="12" spans="1:2">
      <c r="A12" s="6" t="s">
        <v>26</v>
      </c>
      <c r="B12" s="7">
        <v>157000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D2" sqref="D2"/>
    </sheetView>
  </sheetViews>
  <sheetFormatPr defaultRowHeight="15"/>
  <cols>
    <col min="2" max="2" width="11.140625" customWidth="1"/>
    <col min="4" max="4" width="12.140625" customWidth="1"/>
    <col min="8" max="8" width="10.42578125" bestFit="1" customWidth="1"/>
    <col min="9" max="9" width="15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</v>
      </c>
    </row>
    <row r="2" spans="1:9">
      <c r="A2" s="4">
        <v>5001</v>
      </c>
      <c r="B2" s="2" t="s">
        <v>8</v>
      </c>
      <c r="C2" s="2" t="s">
        <v>9</v>
      </c>
      <c r="D2" s="2" t="s">
        <v>10</v>
      </c>
      <c r="E2" s="4">
        <v>1</v>
      </c>
      <c r="F2" s="4">
        <v>50000</v>
      </c>
      <c r="G2" s="2" t="s">
        <v>11</v>
      </c>
      <c r="H2" s="3">
        <v>46023</v>
      </c>
      <c r="I2">
        <f>E2*F2</f>
        <v>50000</v>
      </c>
    </row>
    <row r="3" spans="1:9">
      <c r="A3" s="4">
        <v>5002</v>
      </c>
      <c r="B3" s="2" t="s">
        <v>12</v>
      </c>
      <c r="C3" s="2" t="s">
        <v>13</v>
      </c>
      <c r="D3" s="2" t="s">
        <v>10</v>
      </c>
      <c r="E3" s="4">
        <v>2</v>
      </c>
      <c r="F3" s="4">
        <v>15000</v>
      </c>
      <c r="G3" s="2" t="s">
        <v>14</v>
      </c>
      <c r="H3" s="3">
        <v>46025</v>
      </c>
      <c r="I3">
        <f t="shared" ref="I3:I7" si="0">E3*F3</f>
        <v>30000</v>
      </c>
    </row>
    <row r="4" spans="1:9">
      <c r="A4" s="4">
        <v>5003</v>
      </c>
      <c r="B4" s="2" t="s">
        <v>15</v>
      </c>
      <c r="C4" s="2" t="s">
        <v>16</v>
      </c>
      <c r="D4" s="2" t="s">
        <v>17</v>
      </c>
      <c r="E4" s="4">
        <v>3</v>
      </c>
      <c r="F4" s="4">
        <v>2000</v>
      </c>
      <c r="G4" s="2" t="s">
        <v>18</v>
      </c>
      <c r="H4" s="3">
        <v>46027</v>
      </c>
      <c r="I4">
        <f t="shared" si="0"/>
        <v>6000</v>
      </c>
    </row>
    <row r="5" spans="1:9">
      <c r="A5" s="4">
        <v>5004</v>
      </c>
      <c r="B5" s="2" t="s">
        <v>19</v>
      </c>
      <c r="C5" s="2" t="s">
        <v>9</v>
      </c>
      <c r="D5" s="2" t="s">
        <v>10</v>
      </c>
      <c r="E5" s="4">
        <v>1</v>
      </c>
      <c r="F5" s="4">
        <v>50000</v>
      </c>
      <c r="G5" s="2" t="s">
        <v>20</v>
      </c>
      <c r="H5" s="3">
        <v>46063</v>
      </c>
      <c r="I5">
        <f t="shared" si="0"/>
        <v>50000</v>
      </c>
    </row>
    <row r="6" spans="1:9">
      <c r="A6" s="4">
        <v>5005</v>
      </c>
      <c r="B6" s="2" t="s">
        <v>21</v>
      </c>
      <c r="C6" s="2" t="s">
        <v>22</v>
      </c>
      <c r="D6" s="2" t="s">
        <v>17</v>
      </c>
      <c r="E6" s="4">
        <v>2</v>
      </c>
      <c r="F6" s="4">
        <v>3000</v>
      </c>
      <c r="G6" s="2" t="s">
        <v>11</v>
      </c>
      <c r="H6" s="3">
        <v>46065</v>
      </c>
      <c r="I6">
        <f t="shared" si="0"/>
        <v>6000</v>
      </c>
    </row>
    <row r="7" spans="1:9">
      <c r="A7" s="4">
        <v>5006</v>
      </c>
      <c r="B7" s="2" t="s">
        <v>23</v>
      </c>
      <c r="C7" s="2" t="s">
        <v>13</v>
      </c>
      <c r="D7" s="2" t="s">
        <v>10</v>
      </c>
      <c r="E7" s="4">
        <v>1</v>
      </c>
      <c r="F7" s="4">
        <v>15000</v>
      </c>
      <c r="G7" s="2" t="s">
        <v>14</v>
      </c>
      <c r="H7" s="3">
        <v>46068</v>
      </c>
      <c r="I7">
        <f t="shared" si="0"/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3" sqref="D23"/>
    </sheetView>
  </sheetViews>
  <sheetFormatPr defaultRowHeight="15"/>
  <cols>
    <col min="1" max="1" width="24.28515625" customWidth="1"/>
    <col min="2" max="2" width="22" customWidth="1"/>
    <col min="3" max="3" width="24.140625" customWidth="1"/>
    <col min="4" max="4" width="27.28515625" customWidth="1"/>
  </cols>
  <sheetData>
    <row r="1" spans="1:4" ht="21.75" thickBot="1">
      <c r="A1" s="18" t="s">
        <v>33</v>
      </c>
      <c r="B1" s="12" t="s">
        <v>34</v>
      </c>
      <c r="C1" s="13" t="s">
        <v>38</v>
      </c>
      <c r="D1" s="15" t="s">
        <v>39</v>
      </c>
    </row>
    <row r="2" spans="1:4" s="11" customFormat="1" ht="27" thickBot="1">
      <c r="A2" s="19">
        <f>SUM(Sheet1!I:I)</f>
        <v>157000</v>
      </c>
      <c r="B2" s="17">
        <f>COUNTA(Sheet1!A2:A7)</f>
        <v>6</v>
      </c>
      <c r="C2" s="14" t="str">
        <f>INDEX(Sheet6!A4:A7, MATCH(MAX(Sheet6!B4:B7), Sheet6!B4:B7, 0))</f>
        <v>Laptop</v>
      </c>
      <c r="D2" s="16" t="str">
        <f>INDEX(Sheet7!A4:A9, MATCH(MAX(Sheet7!B4:B9), Sheet7!B4:B9, 0))</f>
        <v>Anu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9" sqref="A9"/>
    </sheetView>
  </sheetViews>
  <sheetFormatPr defaultRowHeight="15"/>
  <cols>
    <col min="1" max="1" width="40.7109375" customWidth="1"/>
  </cols>
  <sheetData>
    <row r="1" spans="1:1">
      <c r="A1" t="s">
        <v>35</v>
      </c>
    </row>
    <row r="2" spans="1:1">
      <c r="A2" t="s">
        <v>36</v>
      </c>
    </row>
    <row r="3" spans="1:1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Sheet7</vt:lpstr>
      <vt:lpstr>Sheet2</vt:lpstr>
      <vt:lpstr>Sheet1</vt:lpstr>
      <vt:lpstr>Sheet10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2026-02-12T12:46:05Z</dcterms:created>
  <dcterms:modified xsi:type="dcterms:W3CDTF">2026-02-12T14:11:04Z</dcterms:modified>
</cp:coreProperties>
</file>