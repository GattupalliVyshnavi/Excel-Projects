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60" windowWidth="20055" windowHeight="7950" activeTab="6"/>
  </bookViews>
  <sheets>
    <sheet name="Sheet4" sheetId="4" r:id="rId1"/>
    <sheet name="Sheet5" sheetId="5" r:id="rId2"/>
    <sheet name="Sheet6" sheetId="6" r:id="rId3"/>
    <sheet name="Sheet7" sheetId="7" r:id="rId4"/>
    <sheet name="Sheet10" sheetId="10" r:id="rId5"/>
    <sheet name="Sheet1" sheetId="1" r:id="rId6"/>
    <sheet name="Sheet2" sheetId="2" r:id="rId7"/>
  </sheets>
  <calcPr calcId="124519"/>
  <pivotCaches>
    <pivotCache cacheId="7" r:id="rId8"/>
    <pivotCache cacheId="15" r:id="rId9"/>
  </pivotCaches>
</workbook>
</file>

<file path=xl/calcChain.xml><?xml version="1.0" encoding="utf-8"?>
<calcChain xmlns="http://schemas.openxmlformats.org/spreadsheetml/2006/main">
  <c r="A2" i="2"/>
  <c r="G2"/>
  <c r="D2"/>
</calcChain>
</file>

<file path=xl/sharedStrings.xml><?xml version="1.0" encoding="utf-8"?>
<sst xmlns="http://schemas.openxmlformats.org/spreadsheetml/2006/main" count="158" uniqueCount="56">
  <si>
    <t>EmpID</t>
  </si>
  <si>
    <t>Name</t>
  </si>
  <si>
    <t>Gender</t>
  </si>
  <si>
    <t>Age</t>
  </si>
  <si>
    <t>Department</t>
  </si>
  <si>
    <t>Salary</t>
  </si>
  <si>
    <t>Experience</t>
  </si>
  <si>
    <t>Status</t>
  </si>
  <si>
    <t>Ravi</t>
  </si>
  <si>
    <t>Male</t>
  </si>
  <si>
    <t>IT</t>
  </si>
  <si>
    <t>Left</t>
  </si>
  <si>
    <t>Anu</t>
  </si>
  <si>
    <t>Female</t>
  </si>
  <si>
    <t>HR</t>
  </si>
  <si>
    <t>Active</t>
  </si>
  <si>
    <t>John</t>
  </si>
  <si>
    <t>Sales</t>
  </si>
  <si>
    <t>Meena</t>
  </si>
  <si>
    <t>Finance</t>
  </si>
  <si>
    <t>Arun</t>
  </si>
  <si>
    <t>Kiran</t>
  </si>
  <si>
    <t>Marketing</t>
  </si>
  <si>
    <t>Priya</t>
  </si>
  <si>
    <t>Sanjay</t>
  </si>
  <si>
    <t>Neha</t>
  </si>
  <si>
    <t>Raj</t>
  </si>
  <si>
    <t>Pooja</t>
  </si>
  <si>
    <t>Ajay</t>
  </si>
  <si>
    <t>Kavya</t>
  </si>
  <si>
    <t>Mohan</t>
  </si>
  <si>
    <t>Ritu</t>
  </si>
  <si>
    <t>Deepak</t>
  </si>
  <si>
    <t>Operations</t>
  </si>
  <si>
    <t>Sneha</t>
  </si>
  <si>
    <t>Vikas</t>
  </si>
  <si>
    <t>Asha</t>
  </si>
  <si>
    <t>Nikhil</t>
  </si>
  <si>
    <t>Divya</t>
  </si>
  <si>
    <t>Ramesh</t>
  </si>
  <si>
    <t>Suman</t>
  </si>
  <si>
    <t>Harish</t>
  </si>
  <si>
    <t>Lakshmi</t>
  </si>
  <si>
    <t>Row Labels</t>
  </si>
  <si>
    <t>Grand Total</t>
  </si>
  <si>
    <t>Sum of EmpID</t>
  </si>
  <si>
    <t>Pivot_Attrition</t>
  </si>
  <si>
    <t>Attrition by Department</t>
  </si>
  <si>
    <t>Attrition by Gender</t>
  </si>
  <si>
    <t>Sum of Experience</t>
  </si>
  <si>
    <t>Values</t>
  </si>
  <si>
    <t>Attrition by Experience</t>
  </si>
  <si>
    <t>Total Employees</t>
  </si>
  <si>
    <t>Total Left Employees</t>
  </si>
  <si>
    <t>Attrition Percentage</t>
  </si>
  <si>
    <t>(All)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</si>
</sst>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93E07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Attrition Analysis.xlsx]Sheet5!PivotTable2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Attrition by Department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Sheet5!$A$4:$A$15</c:f>
              <c:multiLvlStrCache>
                <c:ptCount val="9"/>
                <c:lvl>
                  <c:pt idx="0">
                    <c:v>Finance</c:v>
                  </c:pt>
                  <c:pt idx="1">
                    <c:v>HR</c:v>
                  </c:pt>
                  <c:pt idx="2">
                    <c:v>IT</c:v>
                  </c:pt>
                  <c:pt idx="3">
                    <c:v>Marketing</c:v>
                  </c:pt>
                  <c:pt idx="4">
                    <c:v>Operations</c:v>
                  </c:pt>
                  <c:pt idx="5">
                    <c:v>Finance</c:v>
                  </c:pt>
                  <c:pt idx="6">
                    <c:v>IT</c:v>
                  </c:pt>
                  <c:pt idx="7">
                    <c:v>Marketing</c:v>
                  </c:pt>
                  <c:pt idx="8">
                    <c:v>Sales</c:v>
                  </c:pt>
                </c:lvl>
                <c:lvl>
                  <c:pt idx="0">
                    <c:v>Active</c:v>
                  </c:pt>
                  <c:pt idx="5">
                    <c:v>Left</c:v>
                  </c:pt>
                </c:lvl>
              </c:multiLvlStrCache>
            </c:multiLvlStrRef>
          </c:cat>
          <c:val>
            <c:numRef>
              <c:f>Sheet5!$B$4:$B$15</c:f>
              <c:numCache>
                <c:formatCode>General</c:formatCode>
                <c:ptCount val="9"/>
                <c:pt idx="0">
                  <c:v>461</c:v>
                </c:pt>
                <c:pt idx="1">
                  <c:v>445</c:v>
                </c:pt>
                <c:pt idx="2">
                  <c:v>232</c:v>
                </c:pt>
                <c:pt idx="3">
                  <c:v>217</c:v>
                </c:pt>
                <c:pt idx="4">
                  <c:v>358</c:v>
                </c:pt>
                <c:pt idx="5">
                  <c:v>108</c:v>
                </c:pt>
                <c:pt idx="6">
                  <c:v>320</c:v>
                </c:pt>
                <c:pt idx="7">
                  <c:v>240</c:v>
                </c:pt>
                <c:pt idx="8">
                  <c:v>444</c:v>
                </c:pt>
              </c:numCache>
            </c:numRef>
          </c:val>
        </c:ser>
        <c:shape val="cylinder"/>
        <c:axId val="64964480"/>
        <c:axId val="64966016"/>
        <c:axId val="0"/>
      </c:bar3DChart>
      <c:catAx>
        <c:axId val="64964480"/>
        <c:scaling>
          <c:orientation val="minMax"/>
        </c:scaling>
        <c:axPos val="l"/>
        <c:tickLblPos val="nextTo"/>
        <c:crossAx val="64966016"/>
        <c:crosses val="autoZero"/>
        <c:auto val="1"/>
        <c:lblAlgn val="ctr"/>
        <c:lblOffset val="100"/>
      </c:catAx>
      <c:valAx>
        <c:axId val="64966016"/>
        <c:scaling>
          <c:orientation val="minMax"/>
        </c:scaling>
        <c:axPos val="b"/>
        <c:majorGridlines/>
        <c:numFmt formatCode="General" sourceLinked="1"/>
        <c:tickLblPos val="nextTo"/>
        <c:crossAx val="649644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Attrition Analysis.xlsx]Sheet6!PivotTable3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Gender</a:t>
            </a:r>
            <a:r>
              <a:rPr lang="en-US" baseline="0"/>
              <a:t> Attrition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Sheet6!$A$4:$A$10</c:f>
              <c:multiLvlStrCache>
                <c:ptCount val="4"/>
                <c:lvl>
                  <c:pt idx="0">
                    <c:v>Active</c:v>
                  </c:pt>
                  <c:pt idx="1">
                    <c:v>Left</c:v>
                  </c:pt>
                  <c:pt idx="2">
                    <c:v>Active</c:v>
                  </c:pt>
                  <c:pt idx="3">
                    <c:v>Left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</c:lvl>
              </c:multiLvlStrCache>
            </c:multiLvlStrRef>
          </c:cat>
          <c:val>
            <c:numRef>
              <c:f>Sheet6!$B$4:$B$10</c:f>
              <c:numCache>
                <c:formatCode>General</c:formatCode>
                <c:ptCount val="4"/>
                <c:pt idx="0">
                  <c:v>1017</c:v>
                </c:pt>
                <c:pt idx="1">
                  <c:v>349</c:v>
                </c:pt>
                <c:pt idx="2">
                  <c:v>696</c:v>
                </c:pt>
                <c:pt idx="3">
                  <c:v>763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Attrition Analysis.xlsx]Sheet7!PivotTable4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perspective val="30"/>
    </c:view3D>
    <c:plotArea>
      <c:layout/>
      <c:line3DChart>
        <c:grouping val="standard"/>
        <c:ser>
          <c:idx val="0"/>
          <c:order val="0"/>
          <c:tx>
            <c:strRef>
              <c:f>Sheet7!$B$3:$B$4</c:f>
              <c:strCache>
                <c:ptCount val="1"/>
                <c:pt idx="0">
                  <c:v>Sum of EmpID</c:v>
                </c:pt>
              </c:strCache>
            </c:strRef>
          </c:tx>
          <c:cat>
            <c:strRef>
              <c:f>Sheet7!$A$5:$A$7</c:f>
              <c:strCache>
                <c:ptCount val="2"/>
                <c:pt idx="0">
                  <c:v>Active</c:v>
                </c:pt>
                <c:pt idx="1">
                  <c:v>Left</c:v>
                </c:pt>
              </c:strCache>
            </c:strRef>
          </c:cat>
          <c:val>
            <c:numRef>
              <c:f>Sheet7!$B$5:$B$7</c:f>
              <c:numCache>
                <c:formatCode>General</c:formatCode>
                <c:ptCount val="2"/>
                <c:pt idx="0">
                  <c:v>1713</c:v>
                </c:pt>
                <c:pt idx="1">
                  <c:v>1112</c:v>
                </c:pt>
              </c:numCache>
            </c:numRef>
          </c:val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Sum of Experience</c:v>
                </c:pt>
              </c:strCache>
            </c:strRef>
          </c:tx>
          <c:cat>
            <c:strRef>
              <c:f>Sheet7!$A$5:$A$7</c:f>
              <c:strCache>
                <c:ptCount val="2"/>
                <c:pt idx="0">
                  <c:v>Active</c:v>
                </c:pt>
                <c:pt idx="1">
                  <c:v>Left</c:v>
                </c:pt>
              </c:strCache>
            </c:strRef>
          </c:cat>
          <c:val>
            <c:numRef>
              <c:f>Sheet7!$C$5:$C$7</c:f>
              <c:numCache>
                <c:formatCode>General</c:formatCode>
                <c:ptCount val="2"/>
                <c:pt idx="0">
                  <c:v>149</c:v>
                </c:pt>
                <c:pt idx="1">
                  <c:v>34</c:v>
                </c:pt>
              </c:numCache>
            </c:numRef>
          </c:val>
        </c:ser>
        <c:axId val="171337600"/>
        <c:axId val="142296192"/>
        <c:axId val="171312000"/>
      </c:line3DChart>
      <c:catAx>
        <c:axId val="171337600"/>
        <c:scaling>
          <c:orientation val="minMax"/>
        </c:scaling>
        <c:axPos val="b"/>
        <c:tickLblPos val="nextTo"/>
        <c:crossAx val="142296192"/>
        <c:crosses val="autoZero"/>
        <c:auto val="1"/>
        <c:lblAlgn val="ctr"/>
        <c:lblOffset val="100"/>
      </c:catAx>
      <c:valAx>
        <c:axId val="142296192"/>
        <c:scaling>
          <c:orientation val="minMax"/>
        </c:scaling>
        <c:axPos val="l"/>
        <c:majorGridlines/>
        <c:numFmt formatCode="General" sourceLinked="1"/>
        <c:tickLblPos val="nextTo"/>
        <c:crossAx val="171337600"/>
        <c:crosses val="autoZero"/>
        <c:crossBetween val="between"/>
      </c:valAx>
      <c:serAx>
        <c:axId val="171312000"/>
        <c:scaling>
          <c:orientation val="minMax"/>
        </c:scaling>
        <c:axPos val="b"/>
        <c:tickLblPos val="nextTo"/>
        <c:crossAx val="142296192"/>
        <c:crosses val="autoZero"/>
      </c:ser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Attrition Analysis.xlsx]Sheet6!PivotTable3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Gender</a:t>
            </a:r>
            <a:r>
              <a:rPr lang="en-US" baseline="0"/>
              <a:t> Attrition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Sheet6!$A$4:$A$10</c:f>
              <c:multiLvlStrCache>
                <c:ptCount val="4"/>
                <c:lvl>
                  <c:pt idx="0">
                    <c:v>Active</c:v>
                  </c:pt>
                  <c:pt idx="1">
                    <c:v>Left</c:v>
                  </c:pt>
                  <c:pt idx="2">
                    <c:v>Active</c:v>
                  </c:pt>
                  <c:pt idx="3">
                    <c:v>Left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</c:lvl>
              </c:multiLvlStrCache>
            </c:multiLvlStrRef>
          </c:cat>
          <c:val>
            <c:numRef>
              <c:f>Sheet6!$B$4:$B$10</c:f>
              <c:numCache>
                <c:formatCode>General</c:formatCode>
                <c:ptCount val="4"/>
                <c:pt idx="0">
                  <c:v>1017</c:v>
                </c:pt>
                <c:pt idx="1">
                  <c:v>349</c:v>
                </c:pt>
                <c:pt idx="2">
                  <c:v>696</c:v>
                </c:pt>
                <c:pt idx="3">
                  <c:v>763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Attrition Analysis.xlsx]Sheet5!PivotTable2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Attrition by Department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Sheet5!$A$4:$A$15</c:f>
              <c:multiLvlStrCache>
                <c:ptCount val="9"/>
                <c:lvl>
                  <c:pt idx="0">
                    <c:v>Finance</c:v>
                  </c:pt>
                  <c:pt idx="1">
                    <c:v>HR</c:v>
                  </c:pt>
                  <c:pt idx="2">
                    <c:v>IT</c:v>
                  </c:pt>
                  <c:pt idx="3">
                    <c:v>Marketing</c:v>
                  </c:pt>
                  <c:pt idx="4">
                    <c:v>Operations</c:v>
                  </c:pt>
                  <c:pt idx="5">
                    <c:v>Finance</c:v>
                  </c:pt>
                  <c:pt idx="6">
                    <c:v>IT</c:v>
                  </c:pt>
                  <c:pt idx="7">
                    <c:v>Marketing</c:v>
                  </c:pt>
                  <c:pt idx="8">
                    <c:v>Sales</c:v>
                  </c:pt>
                </c:lvl>
                <c:lvl>
                  <c:pt idx="0">
                    <c:v>Active</c:v>
                  </c:pt>
                  <c:pt idx="5">
                    <c:v>Left</c:v>
                  </c:pt>
                </c:lvl>
              </c:multiLvlStrCache>
            </c:multiLvlStrRef>
          </c:cat>
          <c:val>
            <c:numRef>
              <c:f>Sheet5!$B$4:$B$15</c:f>
              <c:numCache>
                <c:formatCode>General</c:formatCode>
                <c:ptCount val="9"/>
                <c:pt idx="0">
                  <c:v>461</c:v>
                </c:pt>
                <c:pt idx="1">
                  <c:v>445</c:v>
                </c:pt>
                <c:pt idx="2">
                  <c:v>232</c:v>
                </c:pt>
                <c:pt idx="3">
                  <c:v>217</c:v>
                </c:pt>
                <c:pt idx="4">
                  <c:v>358</c:v>
                </c:pt>
                <c:pt idx="5">
                  <c:v>108</c:v>
                </c:pt>
                <c:pt idx="6">
                  <c:v>320</c:v>
                </c:pt>
                <c:pt idx="7">
                  <c:v>240</c:v>
                </c:pt>
                <c:pt idx="8">
                  <c:v>444</c:v>
                </c:pt>
              </c:numCache>
            </c:numRef>
          </c:val>
        </c:ser>
        <c:shape val="cylinder"/>
        <c:axId val="140180864"/>
        <c:axId val="142775424"/>
        <c:axId val="0"/>
      </c:bar3DChart>
      <c:catAx>
        <c:axId val="140180864"/>
        <c:scaling>
          <c:orientation val="minMax"/>
        </c:scaling>
        <c:axPos val="l"/>
        <c:tickLblPos val="nextTo"/>
        <c:crossAx val="142775424"/>
        <c:crosses val="autoZero"/>
        <c:auto val="1"/>
        <c:lblAlgn val="ctr"/>
        <c:lblOffset val="100"/>
      </c:catAx>
      <c:valAx>
        <c:axId val="142775424"/>
        <c:scaling>
          <c:orientation val="minMax"/>
        </c:scaling>
        <c:axPos val="b"/>
        <c:majorGridlines/>
        <c:numFmt formatCode="General" sourceLinked="1"/>
        <c:tickLblPos val="nextTo"/>
        <c:crossAx val="1401808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Attrition Analysis.xlsx]Sheet7!PivotTable4</c:name>
    <c:fmtId val="2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perspective val="30"/>
    </c:view3D>
    <c:plotArea>
      <c:layout/>
      <c:line3DChart>
        <c:grouping val="standard"/>
        <c:ser>
          <c:idx val="0"/>
          <c:order val="0"/>
          <c:tx>
            <c:strRef>
              <c:f>Sheet7!$B$3:$B$4</c:f>
              <c:strCache>
                <c:ptCount val="1"/>
                <c:pt idx="0">
                  <c:v>Sum of EmpID</c:v>
                </c:pt>
              </c:strCache>
            </c:strRef>
          </c:tx>
          <c:cat>
            <c:strRef>
              <c:f>Sheet7!$A$5:$A$7</c:f>
              <c:strCache>
                <c:ptCount val="2"/>
                <c:pt idx="0">
                  <c:v>Active</c:v>
                </c:pt>
                <c:pt idx="1">
                  <c:v>Left</c:v>
                </c:pt>
              </c:strCache>
            </c:strRef>
          </c:cat>
          <c:val>
            <c:numRef>
              <c:f>Sheet7!$B$5:$B$7</c:f>
              <c:numCache>
                <c:formatCode>General</c:formatCode>
                <c:ptCount val="2"/>
                <c:pt idx="0">
                  <c:v>1713</c:v>
                </c:pt>
                <c:pt idx="1">
                  <c:v>1112</c:v>
                </c:pt>
              </c:numCache>
            </c:numRef>
          </c:val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Sum of Experience</c:v>
                </c:pt>
              </c:strCache>
            </c:strRef>
          </c:tx>
          <c:cat>
            <c:strRef>
              <c:f>Sheet7!$A$5:$A$7</c:f>
              <c:strCache>
                <c:ptCount val="2"/>
                <c:pt idx="0">
                  <c:v>Active</c:v>
                </c:pt>
                <c:pt idx="1">
                  <c:v>Left</c:v>
                </c:pt>
              </c:strCache>
            </c:strRef>
          </c:cat>
          <c:val>
            <c:numRef>
              <c:f>Sheet7!$C$5:$C$7</c:f>
              <c:numCache>
                <c:formatCode>General</c:formatCode>
                <c:ptCount val="2"/>
                <c:pt idx="0">
                  <c:v>149</c:v>
                </c:pt>
                <c:pt idx="1">
                  <c:v>34</c:v>
                </c:pt>
              </c:numCache>
            </c:numRef>
          </c:val>
        </c:ser>
        <c:axId val="142153984"/>
        <c:axId val="142171136"/>
        <c:axId val="142778368"/>
      </c:line3DChart>
      <c:catAx>
        <c:axId val="142153984"/>
        <c:scaling>
          <c:orientation val="minMax"/>
        </c:scaling>
        <c:axPos val="b"/>
        <c:tickLblPos val="nextTo"/>
        <c:crossAx val="142171136"/>
        <c:crosses val="autoZero"/>
        <c:auto val="1"/>
        <c:lblAlgn val="ctr"/>
        <c:lblOffset val="100"/>
      </c:catAx>
      <c:valAx>
        <c:axId val="142171136"/>
        <c:scaling>
          <c:orientation val="minMax"/>
        </c:scaling>
        <c:axPos val="l"/>
        <c:majorGridlines/>
        <c:numFmt formatCode="General" sourceLinked="1"/>
        <c:tickLblPos val="nextTo"/>
        <c:crossAx val="142153984"/>
        <c:crosses val="autoZero"/>
        <c:crossBetween val="between"/>
      </c:valAx>
      <c:serAx>
        <c:axId val="142778368"/>
        <c:scaling>
          <c:orientation val="minMax"/>
        </c:scaling>
        <c:axPos val="b"/>
        <c:tickLblPos val="nextTo"/>
        <c:crossAx val="142171136"/>
        <c:crosses val="autoZero"/>
      </c:ser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2</xdr:row>
      <xdr:rowOff>133350</xdr:rowOff>
    </xdr:from>
    <xdr:to>
      <xdr:col>11</xdr:col>
      <xdr:colOff>104775</xdr:colOff>
      <xdr:row>17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142875</xdr:rowOff>
    </xdr:from>
    <xdr:to>
      <xdr:col>11</xdr:col>
      <xdr:colOff>209550</xdr:colOff>
      <xdr:row>16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4</xdr:row>
      <xdr:rowOff>47625</xdr:rowOff>
    </xdr:from>
    <xdr:to>
      <xdr:col>12</xdr:col>
      <xdr:colOff>161925</xdr:colOff>
      <xdr:row>18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400051</xdr:colOff>
      <xdr:row>5</xdr:row>
      <xdr:rowOff>38100</xdr:rowOff>
    </xdr:from>
    <xdr:to>
      <xdr:col>3</xdr:col>
      <xdr:colOff>1066800</xdr:colOff>
      <xdr:row>18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1933575</xdr:colOff>
      <xdr:row>5</xdr:row>
      <xdr:rowOff>57150</xdr:rowOff>
    </xdr:from>
    <xdr:to>
      <xdr:col>6</xdr:col>
      <xdr:colOff>1885950</xdr:colOff>
      <xdr:row>18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66674</xdr:colOff>
      <xdr:row>5</xdr:row>
      <xdr:rowOff>47625</xdr:rowOff>
    </xdr:from>
    <xdr:to>
      <xdr:col>13</xdr:col>
      <xdr:colOff>428625</xdr:colOff>
      <xdr:row>18</xdr:row>
      <xdr:rowOff>85724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65.837285532405" createdVersion="3" refreshedVersion="3" minRefreshableVersion="3" recordCount="25">
  <cacheSource type="worksheet">
    <worksheetSource ref="A1:H26" sheet="Sheet1"/>
  </cacheSource>
  <cacheFields count="8">
    <cacheField name="EmpID" numFmtId="0">
      <sharedItems containsSemiMixedTypes="0" containsString="0" containsNumber="1" containsInteger="1" minValue="101" maxValue="125"/>
    </cacheField>
    <cacheField name="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3" maxValue="46"/>
    </cacheField>
    <cacheField name="Department" numFmtId="0">
      <sharedItems count="6">
        <s v="IT"/>
        <s v="HR"/>
        <s v="Sales"/>
        <s v="Finance"/>
        <s v="Marketing"/>
        <s v="Operations"/>
      </sharedItems>
    </cacheField>
    <cacheField name="Salary" numFmtId="0">
      <sharedItems containsSemiMixedTypes="0" containsString="0" containsNumber="1" containsInteger="1" minValue="22000" maxValue="65000"/>
    </cacheField>
    <cacheField name="Experience" numFmtId="0">
      <sharedItems containsSemiMixedTypes="0" containsString="0" containsNumber="1" containsInteger="1" minValue="1" maxValue="18"/>
    </cacheField>
    <cacheField name="Status" numFmtId="0">
      <sharedItems count="2">
        <s v="Left"/>
        <s v="Activ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065.867508101852" createdVersion="3" refreshedVersion="3" minRefreshableVersion="3" recordCount="26">
  <cacheSource type="worksheet">
    <worksheetSource ref="A1:H1048576" sheet="Sheet1"/>
  </cacheSource>
  <cacheFields count="8">
    <cacheField name="EmpID" numFmtId="0">
      <sharedItems containsString="0" containsBlank="1" containsNumber="1" containsInteger="1" minValue="101" maxValue="125"/>
    </cacheField>
    <cacheField name="Name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23" maxValue="46"/>
    </cacheField>
    <cacheField name="Department" numFmtId="0">
      <sharedItems containsBlank="1" count="7">
        <s v="IT"/>
        <s v="HR"/>
        <s v="Sales"/>
        <s v="Finance"/>
        <s v="Marketing"/>
        <s v="Operations"/>
        <m/>
      </sharedItems>
    </cacheField>
    <cacheField name="Salary" numFmtId="0">
      <sharedItems containsString="0" containsBlank="1" containsNumber="1" containsInteger="1" minValue="22000" maxValue="65000"/>
    </cacheField>
    <cacheField name="Experience" numFmtId="0">
      <sharedItems containsString="0" containsBlank="1" containsNumber="1" containsInteger="1" minValue="1" maxValue="18"/>
    </cacheField>
    <cacheField name="Status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n v="101"/>
    <s v="Ravi"/>
    <x v="0"/>
    <n v="28"/>
    <x v="0"/>
    <n v="35000"/>
    <n v="3"/>
    <x v="0"/>
  </r>
  <r>
    <n v="102"/>
    <s v="Anu"/>
    <x v="1"/>
    <n v="32"/>
    <x v="1"/>
    <n v="40000"/>
    <n v="6"/>
    <x v="1"/>
  </r>
  <r>
    <n v="103"/>
    <s v="John"/>
    <x v="0"/>
    <n v="25"/>
    <x v="2"/>
    <n v="25000"/>
    <n v="2"/>
    <x v="0"/>
  </r>
  <r>
    <n v="104"/>
    <s v="Meena"/>
    <x v="1"/>
    <n v="45"/>
    <x v="3"/>
    <n v="60000"/>
    <n v="15"/>
    <x v="1"/>
  </r>
  <r>
    <n v="105"/>
    <s v="Arun"/>
    <x v="0"/>
    <n v="30"/>
    <x v="0"/>
    <n v="45000"/>
    <n v="5"/>
    <x v="0"/>
  </r>
  <r>
    <n v="106"/>
    <s v="Kiran"/>
    <x v="0"/>
    <n v="34"/>
    <x v="4"/>
    <n v="42000"/>
    <n v="7"/>
    <x v="1"/>
  </r>
  <r>
    <n v="107"/>
    <s v="Priya"/>
    <x v="1"/>
    <n v="29"/>
    <x v="1"/>
    <n v="38000"/>
    <n v="4"/>
    <x v="1"/>
  </r>
  <r>
    <n v="108"/>
    <s v="Sanjay"/>
    <x v="0"/>
    <n v="41"/>
    <x v="3"/>
    <n v="55000"/>
    <n v="12"/>
    <x v="0"/>
  </r>
  <r>
    <n v="109"/>
    <s v="Neha"/>
    <x v="1"/>
    <n v="26"/>
    <x v="2"/>
    <n v="27000"/>
    <n v="2"/>
    <x v="0"/>
  </r>
  <r>
    <n v="110"/>
    <s v="Raj"/>
    <x v="0"/>
    <n v="36"/>
    <x v="0"/>
    <n v="52000"/>
    <n v="9"/>
    <x v="1"/>
  </r>
  <r>
    <n v="111"/>
    <s v="Pooja"/>
    <x v="1"/>
    <n v="33"/>
    <x v="4"/>
    <n v="41000"/>
    <n v="6"/>
    <x v="1"/>
  </r>
  <r>
    <n v="112"/>
    <s v="Ajay"/>
    <x v="0"/>
    <n v="24"/>
    <x v="2"/>
    <n v="23000"/>
    <n v="1"/>
    <x v="0"/>
  </r>
  <r>
    <n v="113"/>
    <s v="Kavya"/>
    <x v="1"/>
    <n v="39"/>
    <x v="3"/>
    <n v="58000"/>
    <n v="11"/>
    <x v="1"/>
  </r>
  <r>
    <n v="114"/>
    <s v="Mohan"/>
    <x v="0"/>
    <n v="27"/>
    <x v="0"/>
    <n v="34000"/>
    <n v="3"/>
    <x v="0"/>
  </r>
  <r>
    <n v="115"/>
    <s v="Ritu"/>
    <x v="1"/>
    <n v="31"/>
    <x v="1"/>
    <n v="42000"/>
    <n v="5"/>
    <x v="1"/>
  </r>
  <r>
    <n v="116"/>
    <s v="Deepak"/>
    <x v="0"/>
    <n v="44"/>
    <x v="5"/>
    <n v="61000"/>
    <n v="16"/>
    <x v="1"/>
  </r>
  <r>
    <n v="117"/>
    <s v="Sneha"/>
    <x v="1"/>
    <n v="28"/>
    <x v="4"/>
    <n v="36000"/>
    <n v="3"/>
    <x v="0"/>
  </r>
  <r>
    <n v="118"/>
    <s v="Vikas"/>
    <x v="0"/>
    <n v="35"/>
    <x v="5"/>
    <n v="48000"/>
    <n v="8"/>
    <x v="1"/>
  </r>
  <r>
    <n v="119"/>
    <s v="Asha"/>
    <x v="1"/>
    <n v="42"/>
    <x v="3"/>
    <n v="59000"/>
    <n v="14"/>
    <x v="1"/>
  </r>
  <r>
    <n v="120"/>
    <s v="Nikhil"/>
    <x v="0"/>
    <n v="23"/>
    <x v="2"/>
    <n v="22000"/>
    <n v="1"/>
    <x v="0"/>
  </r>
  <r>
    <n v="121"/>
    <s v="Divya"/>
    <x v="1"/>
    <n v="34"/>
    <x v="1"/>
    <n v="45000"/>
    <n v="7"/>
    <x v="1"/>
  </r>
  <r>
    <n v="122"/>
    <s v="Ramesh"/>
    <x v="0"/>
    <n v="38"/>
    <x v="0"/>
    <n v="54000"/>
    <n v="10"/>
    <x v="1"/>
  </r>
  <r>
    <n v="123"/>
    <s v="Suman"/>
    <x v="1"/>
    <n v="27"/>
    <x v="4"/>
    <n v="33000"/>
    <n v="2"/>
    <x v="0"/>
  </r>
  <r>
    <n v="124"/>
    <s v="Harish"/>
    <x v="0"/>
    <n v="46"/>
    <x v="5"/>
    <n v="65000"/>
    <n v="18"/>
    <x v="1"/>
  </r>
  <r>
    <n v="125"/>
    <s v="Lakshmi"/>
    <x v="1"/>
    <n v="40"/>
    <x v="3"/>
    <n v="60000"/>
    <n v="1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">
  <r>
    <n v="101"/>
    <s v="Ravi"/>
    <x v="0"/>
    <n v="28"/>
    <x v="0"/>
    <n v="35000"/>
    <n v="3"/>
    <s v="Left"/>
  </r>
  <r>
    <n v="102"/>
    <s v="Anu"/>
    <x v="1"/>
    <n v="32"/>
    <x v="1"/>
    <n v="40000"/>
    <n v="6"/>
    <s v="Active"/>
  </r>
  <r>
    <n v="103"/>
    <s v="John"/>
    <x v="0"/>
    <n v="25"/>
    <x v="2"/>
    <n v="25000"/>
    <n v="2"/>
    <s v="Left"/>
  </r>
  <r>
    <n v="104"/>
    <s v="Meena"/>
    <x v="1"/>
    <n v="45"/>
    <x v="3"/>
    <n v="60000"/>
    <n v="15"/>
    <s v="Active"/>
  </r>
  <r>
    <n v="105"/>
    <s v="Arun"/>
    <x v="0"/>
    <n v="30"/>
    <x v="0"/>
    <n v="45000"/>
    <n v="5"/>
    <s v="Left"/>
  </r>
  <r>
    <n v="106"/>
    <s v="Kiran"/>
    <x v="0"/>
    <n v="34"/>
    <x v="4"/>
    <n v="42000"/>
    <n v="7"/>
    <s v="Active"/>
  </r>
  <r>
    <n v="107"/>
    <s v="Priya"/>
    <x v="1"/>
    <n v="29"/>
    <x v="1"/>
    <n v="38000"/>
    <n v="4"/>
    <s v="Active"/>
  </r>
  <r>
    <n v="108"/>
    <s v="Sanjay"/>
    <x v="0"/>
    <n v="41"/>
    <x v="3"/>
    <n v="55000"/>
    <n v="12"/>
    <s v="Left"/>
  </r>
  <r>
    <n v="109"/>
    <s v="Neha"/>
    <x v="1"/>
    <n v="26"/>
    <x v="2"/>
    <n v="27000"/>
    <n v="2"/>
    <s v="Left"/>
  </r>
  <r>
    <n v="110"/>
    <s v="Raj"/>
    <x v="0"/>
    <n v="36"/>
    <x v="0"/>
    <n v="52000"/>
    <n v="9"/>
    <s v="Active"/>
  </r>
  <r>
    <n v="111"/>
    <s v="Pooja"/>
    <x v="1"/>
    <n v="33"/>
    <x v="4"/>
    <n v="41000"/>
    <n v="6"/>
    <s v="Active"/>
  </r>
  <r>
    <n v="112"/>
    <s v="Ajay"/>
    <x v="0"/>
    <n v="24"/>
    <x v="2"/>
    <n v="23000"/>
    <n v="1"/>
    <s v="Left"/>
  </r>
  <r>
    <n v="113"/>
    <s v="Kavya"/>
    <x v="1"/>
    <n v="39"/>
    <x v="3"/>
    <n v="58000"/>
    <n v="11"/>
    <s v="Active"/>
  </r>
  <r>
    <n v="114"/>
    <s v="Mohan"/>
    <x v="0"/>
    <n v="27"/>
    <x v="0"/>
    <n v="34000"/>
    <n v="3"/>
    <s v="Left"/>
  </r>
  <r>
    <n v="115"/>
    <s v="Ritu"/>
    <x v="1"/>
    <n v="31"/>
    <x v="1"/>
    <n v="42000"/>
    <n v="5"/>
    <s v="Active"/>
  </r>
  <r>
    <n v="116"/>
    <s v="Deepak"/>
    <x v="0"/>
    <n v="44"/>
    <x v="5"/>
    <n v="61000"/>
    <n v="16"/>
    <s v="Active"/>
  </r>
  <r>
    <n v="117"/>
    <s v="Sneha"/>
    <x v="1"/>
    <n v="28"/>
    <x v="4"/>
    <n v="36000"/>
    <n v="3"/>
    <s v="Left"/>
  </r>
  <r>
    <n v="118"/>
    <s v="Vikas"/>
    <x v="0"/>
    <n v="35"/>
    <x v="5"/>
    <n v="48000"/>
    <n v="8"/>
    <s v="Active"/>
  </r>
  <r>
    <n v="119"/>
    <s v="Asha"/>
    <x v="1"/>
    <n v="42"/>
    <x v="3"/>
    <n v="59000"/>
    <n v="14"/>
    <s v="Active"/>
  </r>
  <r>
    <n v="120"/>
    <s v="Nikhil"/>
    <x v="0"/>
    <n v="23"/>
    <x v="2"/>
    <n v="22000"/>
    <n v="1"/>
    <s v="Left"/>
  </r>
  <r>
    <n v="121"/>
    <s v="Divya"/>
    <x v="1"/>
    <n v="34"/>
    <x v="1"/>
    <n v="45000"/>
    <n v="7"/>
    <s v="Active"/>
  </r>
  <r>
    <n v="122"/>
    <s v="Ramesh"/>
    <x v="0"/>
    <n v="38"/>
    <x v="0"/>
    <n v="54000"/>
    <n v="10"/>
    <s v="Active"/>
  </r>
  <r>
    <n v="123"/>
    <s v="Suman"/>
    <x v="1"/>
    <n v="27"/>
    <x v="4"/>
    <n v="33000"/>
    <n v="2"/>
    <s v="Left"/>
  </r>
  <r>
    <n v="124"/>
    <s v="Harish"/>
    <x v="0"/>
    <n v="46"/>
    <x v="5"/>
    <n v="65000"/>
    <n v="18"/>
    <s v="Active"/>
  </r>
  <r>
    <n v="125"/>
    <s v="Lakshmi"/>
    <x v="1"/>
    <n v="40"/>
    <x v="3"/>
    <n v="60000"/>
    <n v="13"/>
    <s v="Active"/>
  </r>
  <r>
    <m/>
    <m/>
    <x v="2"/>
    <m/>
    <x v="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6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EmpID" fld="0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5" firstHeaderRow="1" firstDataRow="1" firstDataCol="1"/>
  <pivotFields count="8">
    <pivotField dataField="1" showAll="0"/>
    <pivotField showAll="0"/>
    <pivotField showAll="0"/>
    <pivotField showAll="0"/>
    <pivotField axis="axisRow" showAll="0">
      <items count="7">
        <item x="3"/>
        <item x="1"/>
        <item x="0"/>
        <item x="4"/>
        <item x="5"/>
        <item x="2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</pivotFields>
  <rowFields count="2">
    <field x="7"/>
    <field x="4"/>
  </rowFields>
  <rowItems count="12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2"/>
    </i>
    <i r="1">
      <x v="3"/>
    </i>
    <i r="1">
      <x v="5"/>
    </i>
    <i t="grand">
      <x/>
    </i>
  </rowItems>
  <colItems count="1">
    <i/>
  </colItems>
  <dataFields count="1">
    <dataField name="Sum of Emp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0" firstHeaderRow="1" firstDataRow="1" firstDataCol="1"/>
  <pivotFields count="8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2">
    <field x="2"/>
    <field x="7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Sum of Emp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C7" firstHeaderRow="1" firstDataRow="2" firstDataCol="1"/>
  <pivotFields count="8">
    <pivotField dataField="1"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mpID" fld="0" baseField="0" baseItem="0"/>
    <dataField name="Sum of Experience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6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" firstHeaderRow="0" firstDataRow="0" firstDataCol="0" rowPageCount="2" colPageCount="1"/>
  <pivotFields count="8"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axis="axisPage" showAll="0">
      <items count="8">
        <item x="3"/>
        <item x="1"/>
        <item x="0"/>
        <item x="4"/>
        <item x="5"/>
        <item x="2"/>
        <item x="6"/>
        <item t="default"/>
      </items>
    </pivotField>
    <pivotField showAll="0"/>
    <pivotField showAll="0"/>
    <pivotField showAll="0"/>
  </pivotFields>
  <pageFields count="2">
    <pageField fld="2" hier="-1"/>
    <pageField fld="4" hier="-1"/>
  </page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7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D25" firstHeaderRow="0" firstDataRow="0" firstDataCol="0" rowPageCount="2" colPageCount="1"/>
  <pivotFields count="8"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axis="axisPage" showAll="0">
      <items count="8">
        <item x="3"/>
        <item x="1"/>
        <item x="0"/>
        <item x="4"/>
        <item x="5"/>
        <item x="2"/>
        <item x="6"/>
        <item t="default"/>
      </items>
    </pivotField>
    <pivotField showAll="0"/>
    <pivotField showAll="0"/>
    <pivotField showAll="0"/>
  </pivotFields>
  <pageFields count="2">
    <pageField fld="2" hier="-1"/>
    <pageField fld="4" hier="-1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A3" sqref="A3:B6"/>
    </sheetView>
  </sheetViews>
  <sheetFormatPr defaultRowHeight="15"/>
  <cols>
    <col min="1" max="1" width="20.140625" customWidth="1"/>
    <col min="2" max="2" width="13.42578125" bestFit="1" customWidth="1"/>
  </cols>
  <sheetData>
    <row r="1" spans="1:2" ht="21" customHeight="1">
      <c r="A1" s="7" t="s">
        <v>46</v>
      </c>
      <c r="B1" s="7"/>
    </row>
    <row r="2" spans="1:2">
      <c r="A2" s="7"/>
      <c r="B2" s="7"/>
    </row>
    <row r="3" spans="1:2">
      <c r="A3" s="4" t="s">
        <v>43</v>
      </c>
      <c r="B3" t="s">
        <v>45</v>
      </c>
    </row>
    <row r="4" spans="1:2">
      <c r="A4" s="5" t="s">
        <v>15</v>
      </c>
      <c r="B4" s="6">
        <v>1713</v>
      </c>
    </row>
    <row r="5" spans="1:2">
      <c r="A5" s="5" t="s">
        <v>11</v>
      </c>
      <c r="B5" s="6">
        <v>1112</v>
      </c>
    </row>
    <row r="6" spans="1:2">
      <c r="A6" s="5" t="s">
        <v>44</v>
      </c>
      <c r="B6" s="6">
        <v>2825</v>
      </c>
    </row>
  </sheetData>
  <mergeCells count="1">
    <mergeCell ref="A1:B2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selection activeCell="M6" sqref="M6"/>
    </sheetView>
  </sheetViews>
  <sheetFormatPr defaultRowHeight="15"/>
  <cols>
    <col min="1" max="1" width="14.5703125" bestFit="1" customWidth="1"/>
    <col min="2" max="2" width="13.42578125" bestFit="1" customWidth="1"/>
  </cols>
  <sheetData>
    <row r="1" spans="1:2" ht="21" customHeight="1">
      <c r="A1" s="9" t="s">
        <v>47</v>
      </c>
      <c r="B1" s="7"/>
    </row>
    <row r="2" spans="1:2">
      <c r="A2" s="7"/>
      <c r="B2" s="7"/>
    </row>
    <row r="3" spans="1:2">
      <c r="A3" s="4" t="s">
        <v>43</v>
      </c>
      <c r="B3" t="s">
        <v>45</v>
      </c>
    </row>
    <row r="4" spans="1:2">
      <c r="A4" s="5" t="s">
        <v>15</v>
      </c>
      <c r="B4" s="6">
        <v>1713</v>
      </c>
    </row>
    <row r="5" spans="1:2">
      <c r="A5" s="8" t="s">
        <v>19</v>
      </c>
      <c r="B5" s="6">
        <v>461</v>
      </c>
    </row>
    <row r="6" spans="1:2">
      <c r="A6" s="8" t="s">
        <v>14</v>
      </c>
      <c r="B6" s="6">
        <v>445</v>
      </c>
    </row>
    <row r="7" spans="1:2">
      <c r="A7" s="8" t="s">
        <v>10</v>
      </c>
      <c r="B7" s="6">
        <v>232</v>
      </c>
    </row>
    <row r="8" spans="1:2">
      <c r="A8" s="8" t="s">
        <v>22</v>
      </c>
      <c r="B8" s="6">
        <v>217</v>
      </c>
    </row>
    <row r="9" spans="1:2">
      <c r="A9" s="8" t="s">
        <v>33</v>
      </c>
      <c r="B9" s="6">
        <v>358</v>
      </c>
    </row>
    <row r="10" spans="1:2">
      <c r="A10" s="5" t="s">
        <v>11</v>
      </c>
      <c r="B10" s="6">
        <v>1112</v>
      </c>
    </row>
    <row r="11" spans="1:2">
      <c r="A11" s="8" t="s">
        <v>19</v>
      </c>
      <c r="B11" s="6">
        <v>108</v>
      </c>
    </row>
    <row r="12" spans="1:2">
      <c r="A12" s="8" t="s">
        <v>10</v>
      </c>
      <c r="B12" s="6">
        <v>320</v>
      </c>
    </row>
    <row r="13" spans="1:2">
      <c r="A13" s="8" t="s">
        <v>22</v>
      </c>
      <c r="B13" s="6">
        <v>240</v>
      </c>
    </row>
    <row r="14" spans="1:2">
      <c r="A14" s="8" t="s">
        <v>17</v>
      </c>
      <c r="B14" s="6">
        <v>444</v>
      </c>
    </row>
    <row r="15" spans="1:2">
      <c r="A15" s="5" t="s">
        <v>44</v>
      </c>
      <c r="B15" s="6">
        <v>2825</v>
      </c>
    </row>
  </sheetData>
  <mergeCells count="1">
    <mergeCell ref="A1:B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N12" sqref="N12"/>
    </sheetView>
  </sheetViews>
  <sheetFormatPr defaultRowHeight="15"/>
  <cols>
    <col min="1" max="1" width="13.140625" bestFit="1" customWidth="1"/>
    <col min="2" max="2" width="13.42578125" bestFit="1" customWidth="1"/>
  </cols>
  <sheetData>
    <row r="1" spans="1:2" ht="18.75" customHeight="1">
      <c r="A1" s="9" t="s">
        <v>48</v>
      </c>
      <c r="B1" s="9"/>
    </row>
    <row r="2" spans="1:2">
      <c r="A2" s="9"/>
      <c r="B2" s="9"/>
    </row>
    <row r="3" spans="1:2">
      <c r="A3" s="4" t="s">
        <v>43</v>
      </c>
      <c r="B3" t="s">
        <v>45</v>
      </c>
    </row>
    <row r="4" spans="1:2">
      <c r="A4" s="5" t="s">
        <v>13</v>
      </c>
      <c r="B4" s="6">
        <v>1366</v>
      </c>
    </row>
    <row r="5" spans="1:2">
      <c r="A5" s="8" t="s">
        <v>15</v>
      </c>
      <c r="B5" s="6">
        <v>1017</v>
      </c>
    </row>
    <row r="6" spans="1:2">
      <c r="A6" s="8" t="s">
        <v>11</v>
      </c>
      <c r="B6" s="6">
        <v>349</v>
      </c>
    </row>
    <row r="7" spans="1:2">
      <c r="A7" s="5" t="s">
        <v>9</v>
      </c>
      <c r="B7" s="6">
        <v>1459</v>
      </c>
    </row>
    <row r="8" spans="1:2">
      <c r="A8" s="8" t="s">
        <v>15</v>
      </c>
      <c r="B8" s="6">
        <v>696</v>
      </c>
    </row>
    <row r="9" spans="1:2">
      <c r="A9" s="8" t="s">
        <v>11</v>
      </c>
      <c r="B9" s="6">
        <v>763</v>
      </c>
    </row>
    <row r="10" spans="1:2">
      <c r="A10" s="5" t="s">
        <v>44</v>
      </c>
      <c r="B10" s="6">
        <v>2825</v>
      </c>
    </row>
  </sheetData>
  <mergeCells count="1">
    <mergeCell ref="A1:B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L20" sqref="L20"/>
    </sheetView>
  </sheetViews>
  <sheetFormatPr defaultRowHeight="15"/>
  <cols>
    <col min="1" max="1" width="13.140625" customWidth="1"/>
    <col min="2" max="2" width="13.42578125" customWidth="1"/>
    <col min="3" max="3" width="17.7109375" bestFit="1" customWidth="1"/>
  </cols>
  <sheetData>
    <row r="1" spans="1:3" ht="21" customHeight="1">
      <c r="A1" s="7" t="s">
        <v>51</v>
      </c>
      <c r="B1" s="7"/>
      <c r="C1" s="7"/>
    </row>
    <row r="2" spans="1:3">
      <c r="A2" s="7"/>
      <c r="B2" s="7"/>
      <c r="C2" s="7"/>
    </row>
    <row r="3" spans="1:3">
      <c r="B3" s="4" t="s">
        <v>50</v>
      </c>
    </row>
    <row r="4" spans="1:3">
      <c r="A4" s="4" t="s">
        <v>43</v>
      </c>
      <c r="B4" t="s">
        <v>45</v>
      </c>
      <c r="C4" t="s">
        <v>49</v>
      </c>
    </row>
    <row r="5" spans="1:3">
      <c r="A5" s="5" t="s">
        <v>15</v>
      </c>
      <c r="B5" s="6">
        <v>1713</v>
      </c>
      <c r="C5" s="6">
        <v>149</v>
      </c>
    </row>
    <row r="6" spans="1:3">
      <c r="A6" s="5" t="s">
        <v>11</v>
      </c>
      <c r="B6" s="6">
        <v>1112</v>
      </c>
      <c r="C6" s="6">
        <v>34</v>
      </c>
    </row>
    <row r="7" spans="1:3">
      <c r="A7" s="5" t="s">
        <v>44</v>
      </c>
      <c r="B7" s="6">
        <v>2825</v>
      </c>
      <c r="C7" s="6">
        <v>183</v>
      </c>
    </row>
  </sheetData>
  <mergeCells count="1">
    <mergeCell ref="A1:C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sqref="A1:B2"/>
    </sheetView>
  </sheetViews>
  <sheetFormatPr defaultRowHeight="15"/>
  <cols>
    <col min="1" max="1" width="11.7109375" customWidth="1"/>
    <col min="2" max="2" width="7.140625" customWidth="1"/>
  </cols>
  <sheetData>
    <row r="1" spans="1:2">
      <c r="A1" s="4" t="s">
        <v>2</v>
      </c>
      <c r="B1" t="s">
        <v>55</v>
      </c>
    </row>
    <row r="2" spans="1:2">
      <c r="A2" s="4" t="s">
        <v>4</v>
      </c>
      <c r="B2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6"/>
  <sheetViews>
    <sheetView workbookViewId="0">
      <selection sqref="A1:XFD1048576"/>
    </sheetView>
  </sheetViews>
  <sheetFormatPr defaultRowHeight="15"/>
  <cols>
    <col min="5" max="5" width="12.28515625" customWidth="1"/>
    <col min="7" max="7" width="13.28515625" customWidth="1"/>
  </cols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101</v>
      </c>
      <c r="B2" s="2" t="s">
        <v>8</v>
      </c>
      <c r="C2" s="2" t="s">
        <v>9</v>
      </c>
      <c r="D2" s="3">
        <v>28</v>
      </c>
      <c r="E2" s="2" t="s">
        <v>10</v>
      </c>
      <c r="F2" s="3">
        <v>35000</v>
      </c>
      <c r="G2" s="3">
        <v>3</v>
      </c>
      <c r="H2" s="2" t="s">
        <v>11</v>
      </c>
    </row>
    <row r="3" spans="1:8">
      <c r="A3" s="3">
        <v>102</v>
      </c>
      <c r="B3" s="2" t="s">
        <v>12</v>
      </c>
      <c r="C3" s="2" t="s">
        <v>13</v>
      </c>
      <c r="D3" s="3">
        <v>32</v>
      </c>
      <c r="E3" s="2" t="s">
        <v>14</v>
      </c>
      <c r="F3" s="3">
        <v>40000</v>
      </c>
      <c r="G3" s="3">
        <v>6</v>
      </c>
      <c r="H3" s="2" t="s">
        <v>15</v>
      </c>
    </row>
    <row r="4" spans="1:8">
      <c r="A4" s="3">
        <v>103</v>
      </c>
      <c r="B4" s="2" t="s">
        <v>16</v>
      </c>
      <c r="C4" s="2" t="s">
        <v>9</v>
      </c>
      <c r="D4" s="3">
        <v>25</v>
      </c>
      <c r="E4" s="2" t="s">
        <v>17</v>
      </c>
      <c r="F4" s="3">
        <v>25000</v>
      </c>
      <c r="G4" s="3">
        <v>2</v>
      </c>
      <c r="H4" s="2" t="s">
        <v>11</v>
      </c>
    </row>
    <row r="5" spans="1:8">
      <c r="A5" s="3">
        <v>104</v>
      </c>
      <c r="B5" s="2" t="s">
        <v>18</v>
      </c>
      <c r="C5" s="2" t="s">
        <v>13</v>
      </c>
      <c r="D5" s="3">
        <v>45</v>
      </c>
      <c r="E5" s="2" t="s">
        <v>19</v>
      </c>
      <c r="F5" s="3">
        <v>60000</v>
      </c>
      <c r="G5" s="3">
        <v>15</v>
      </c>
      <c r="H5" s="2" t="s">
        <v>15</v>
      </c>
    </row>
    <row r="6" spans="1:8">
      <c r="A6" s="3">
        <v>105</v>
      </c>
      <c r="B6" s="2" t="s">
        <v>20</v>
      </c>
      <c r="C6" s="2" t="s">
        <v>9</v>
      </c>
      <c r="D6" s="3">
        <v>30</v>
      </c>
      <c r="E6" s="2" t="s">
        <v>10</v>
      </c>
      <c r="F6" s="3">
        <v>45000</v>
      </c>
      <c r="G6" s="3">
        <v>5</v>
      </c>
      <c r="H6" s="2" t="s">
        <v>11</v>
      </c>
    </row>
    <row r="7" spans="1:8" ht="30">
      <c r="A7" s="3">
        <v>106</v>
      </c>
      <c r="B7" s="2" t="s">
        <v>21</v>
      </c>
      <c r="C7" s="2" t="s">
        <v>9</v>
      </c>
      <c r="D7" s="3">
        <v>34</v>
      </c>
      <c r="E7" s="2" t="s">
        <v>22</v>
      </c>
      <c r="F7" s="3">
        <v>42000</v>
      </c>
      <c r="G7" s="3">
        <v>7</v>
      </c>
      <c r="H7" s="2" t="s">
        <v>15</v>
      </c>
    </row>
    <row r="8" spans="1:8">
      <c r="A8" s="3">
        <v>107</v>
      </c>
      <c r="B8" s="2" t="s">
        <v>23</v>
      </c>
      <c r="C8" s="2" t="s">
        <v>13</v>
      </c>
      <c r="D8" s="3">
        <v>29</v>
      </c>
      <c r="E8" s="2" t="s">
        <v>14</v>
      </c>
      <c r="F8" s="3">
        <v>38000</v>
      </c>
      <c r="G8" s="3">
        <v>4</v>
      </c>
      <c r="H8" s="2" t="s">
        <v>15</v>
      </c>
    </row>
    <row r="9" spans="1:8">
      <c r="A9" s="3">
        <v>108</v>
      </c>
      <c r="B9" s="2" t="s">
        <v>24</v>
      </c>
      <c r="C9" s="2" t="s">
        <v>9</v>
      </c>
      <c r="D9" s="3">
        <v>41</v>
      </c>
      <c r="E9" s="2" t="s">
        <v>19</v>
      </c>
      <c r="F9" s="3">
        <v>55000</v>
      </c>
      <c r="G9" s="3">
        <v>12</v>
      </c>
      <c r="H9" s="2" t="s">
        <v>11</v>
      </c>
    </row>
    <row r="10" spans="1:8">
      <c r="A10" s="3">
        <v>109</v>
      </c>
      <c r="B10" s="2" t="s">
        <v>25</v>
      </c>
      <c r="C10" s="2" t="s">
        <v>13</v>
      </c>
      <c r="D10" s="3">
        <v>26</v>
      </c>
      <c r="E10" s="2" t="s">
        <v>17</v>
      </c>
      <c r="F10" s="3">
        <v>27000</v>
      </c>
      <c r="G10" s="3">
        <v>2</v>
      </c>
      <c r="H10" s="2" t="s">
        <v>11</v>
      </c>
    </row>
    <row r="11" spans="1:8">
      <c r="A11" s="3">
        <v>110</v>
      </c>
      <c r="B11" s="2" t="s">
        <v>26</v>
      </c>
      <c r="C11" s="2" t="s">
        <v>9</v>
      </c>
      <c r="D11" s="3">
        <v>36</v>
      </c>
      <c r="E11" s="2" t="s">
        <v>10</v>
      </c>
      <c r="F11" s="3">
        <v>52000</v>
      </c>
      <c r="G11" s="3">
        <v>9</v>
      </c>
      <c r="H11" s="2" t="s">
        <v>15</v>
      </c>
    </row>
    <row r="12" spans="1:8" ht="30">
      <c r="A12" s="3">
        <v>111</v>
      </c>
      <c r="B12" s="2" t="s">
        <v>27</v>
      </c>
      <c r="C12" s="2" t="s">
        <v>13</v>
      </c>
      <c r="D12" s="3">
        <v>33</v>
      </c>
      <c r="E12" s="2" t="s">
        <v>22</v>
      </c>
      <c r="F12" s="3">
        <v>41000</v>
      </c>
      <c r="G12" s="3">
        <v>6</v>
      </c>
      <c r="H12" s="2" t="s">
        <v>15</v>
      </c>
    </row>
    <row r="13" spans="1:8">
      <c r="A13" s="3">
        <v>112</v>
      </c>
      <c r="B13" s="2" t="s">
        <v>28</v>
      </c>
      <c r="C13" s="2" t="s">
        <v>9</v>
      </c>
      <c r="D13" s="3">
        <v>24</v>
      </c>
      <c r="E13" s="2" t="s">
        <v>17</v>
      </c>
      <c r="F13" s="3">
        <v>23000</v>
      </c>
      <c r="G13" s="3">
        <v>1</v>
      </c>
      <c r="H13" s="2" t="s">
        <v>11</v>
      </c>
    </row>
    <row r="14" spans="1:8">
      <c r="A14" s="3">
        <v>113</v>
      </c>
      <c r="B14" s="2" t="s">
        <v>29</v>
      </c>
      <c r="C14" s="2" t="s">
        <v>13</v>
      </c>
      <c r="D14" s="3">
        <v>39</v>
      </c>
      <c r="E14" s="2" t="s">
        <v>19</v>
      </c>
      <c r="F14" s="3">
        <v>58000</v>
      </c>
      <c r="G14" s="3">
        <v>11</v>
      </c>
      <c r="H14" s="2" t="s">
        <v>15</v>
      </c>
    </row>
    <row r="15" spans="1:8">
      <c r="A15" s="3">
        <v>114</v>
      </c>
      <c r="B15" s="2" t="s">
        <v>30</v>
      </c>
      <c r="C15" s="2" t="s">
        <v>9</v>
      </c>
      <c r="D15" s="3">
        <v>27</v>
      </c>
      <c r="E15" s="2" t="s">
        <v>10</v>
      </c>
      <c r="F15" s="3">
        <v>34000</v>
      </c>
      <c r="G15" s="3">
        <v>3</v>
      </c>
      <c r="H15" s="2" t="s">
        <v>11</v>
      </c>
    </row>
    <row r="16" spans="1:8">
      <c r="A16" s="3">
        <v>115</v>
      </c>
      <c r="B16" s="2" t="s">
        <v>31</v>
      </c>
      <c r="C16" s="2" t="s">
        <v>13</v>
      </c>
      <c r="D16" s="3">
        <v>31</v>
      </c>
      <c r="E16" s="2" t="s">
        <v>14</v>
      </c>
      <c r="F16" s="3">
        <v>42000</v>
      </c>
      <c r="G16" s="3">
        <v>5</v>
      </c>
      <c r="H16" s="2" t="s">
        <v>15</v>
      </c>
    </row>
    <row r="17" spans="1:8" ht="30">
      <c r="A17" s="3">
        <v>116</v>
      </c>
      <c r="B17" s="2" t="s">
        <v>32</v>
      </c>
      <c r="C17" s="2" t="s">
        <v>9</v>
      </c>
      <c r="D17" s="3">
        <v>44</v>
      </c>
      <c r="E17" s="2" t="s">
        <v>33</v>
      </c>
      <c r="F17" s="3">
        <v>61000</v>
      </c>
      <c r="G17" s="3">
        <v>16</v>
      </c>
      <c r="H17" s="2" t="s">
        <v>15</v>
      </c>
    </row>
    <row r="18" spans="1:8" ht="30">
      <c r="A18" s="3">
        <v>117</v>
      </c>
      <c r="B18" s="2" t="s">
        <v>34</v>
      </c>
      <c r="C18" s="2" t="s">
        <v>13</v>
      </c>
      <c r="D18" s="3">
        <v>28</v>
      </c>
      <c r="E18" s="2" t="s">
        <v>22</v>
      </c>
      <c r="F18" s="3">
        <v>36000</v>
      </c>
      <c r="G18" s="3">
        <v>3</v>
      </c>
      <c r="H18" s="2" t="s">
        <v>11</v>
      </c>
    </row>
    <row r="19" spans="1:8" ht="30">
      <c r="A19" s="3">
        <v>118</v>
      </c>
      <c r="B19" s="2" t="s">
        <v>35</v>
      </c>
      <c r="C19" s="2" t="s">
        <v>9</v>
      </c>
      <c r="D19" s="3">
        <v>35</v>
      </c>
      <c r="E19" s="2" t="s">
        <v>33</v>
      </c>
      <c r="F19" s="3">
        <v>48000</v>
      </c>
      <c r="G19" s="3">
        <v>8</v>
      </c>
      <c r="H19" s="2" t="s">
        <v>15</v>
      </c>
    </row>
    <row r="20" spans="1:8">
      <c r="A20" s="3">
        <v>119</v>
      </c>
      <c r="B20" s="2" t="s">
        <v>36</v>
      </c>
      <c r="C20" s="2" t="s">
        <v>13</v>
      </c>
      <c r="D20" s="3">
        <v>42</v>
      </c>
      <c r="E20" s="2" t="s">
        <v>19</v>
      </c>
      <c r="F20" s="3">
        <v>59000</v>
      </c>
      <c r="G20" s="3">
        <v>14</v>
      </c>
      <c r="H20" s="2" t="s">
        <v>15</v>
      </c>
    </row>
    <row r="21" spans="1:8">
      <c r="A21" s="3">
        <v>120</v>
      </c>
      <c r="B21" s="2" t="s">
        <v>37</v>
      </c>
      <c r="C21" s="2" t="s">
        <v>9</v>
      </c>
      <c r="D21" s="3">
        <v>23</v>
      </c>
      <c r="E21" s="2" t="s">
        <v>17</v>
      </c>
      <c r="F21" s="3">
        <v>22000</v>
      </c>
      <c r="G21" s="3">
        <v>1</v>
      </c>
      <c r="H21" s="2" t="s">
        <v>11</v>
      </c>
    </row>
    <row r="22" spans="1:8">
      <c r="A22" s="3">
        <v>121</v>
      </c>
      <c r="B22" s="2" t="s">
        <v>38</v>
      </c>
      <c r="C22" s="2" t="s">
        <v>13</v>
      </c>
      <c r="D22" s="3">
        <v>34</v>
      </c>
      <c r="E22" s="2" t="s">
        <v>14</v>
      </c>
      <c r="F22" s="3">
        <v>45000</v>
      </c>
      <c r="G22" s="3">
        <v>7</v>
      </c>
      <c r="H22" s="2" t="s">
        <v>15</v>
      </c>
    </row>
    <row r="23" spans="1:8">
      <c r="A23" s="3">
        <v>122</v>
      </c>
      <c r="B23" s="2" t="s">
        <v>39</v>
      </c>
      <c r="C23" s="2" t="s">
        <v>9</v>
      </c>
      <c r="D23" s="3">
        <v>38</v>
      </c>
      <c r="E23" s="2" t="s">
        <v>10</v>
      </c>
      <c r="F23" s="3">
        <v>54000</v>
      </c>
      <c r="G23" s="3">
        <v>10</v>
      </c>
      <c r="H23" s="2" t="s">
        <v>15</v>
      </c>
    </row>
    <row r="24" spans="1:8" ht="30">
      <c r="A24" s="3">
        <v>123</v>
      </c>
      <c r="B24" s="2" t="s">
        <v>40</v>
      </c>
      <c r="C24" s="2" t="s">
        <v>13</v>
      </c>
      <c r="D24" s="3">
        <v>27</v>
      </c>
      <c r="E24" s="2" t="s">
        <v>22</v>
      </c>
      <c r="F24" s="3">
        <v>33000</v>
      </c>
      <c r="G24" s="3">
        <v>2</v>
      </c>
      <c r="H24" s="2" t="s">
        <v>11</v>
      </c>
    </row>
    <row r="25" spans="1:8" ht="30">
      <c r="A25" s="3">
        <v>124</v>
      </c>
      <c r="B25" s="2" t="s">
        <v>41</v>
      </c>
      <c r="C25" s="2" t="s">
        <v>9</v>
      </c>
      <c r="D25" s="3">
        <v>46</v>
      </c>
      <c r="E25" s="2" t="s">
        <v>33</v>
      </c>
      <c r="F25" s="3">
        <v>65000</v>
      </c>
      <c r="G25" s="3">
        <v>18</v>
      </c>
      <c r="H25" s="2" t="s">
        <v>15</v>
      </c>
    </row>
    <row r="26" spans="1:8">
      <c r="A26" s="3">
        <v>125</v>
      </c>
      <c r="B26" s="2" t="s">
        <v>42</v>
      </c>
      <c r="C26" s="2" t="s">
        <v>13</v>
      </c>
      <c r="D26" s="3">
        <v>40</v>
      </c>
      <c r="E26" s="2" t="s">
        <v>19</v>
      </c>
      <c r="F26" s="3">
        <v>60000</v>
      </c>
      <c r="G26" s="3">
        <v>13</v>
      </c>
      <c r="H26" s="2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selection sqref="A1:A2"/>
    </sheetView>
  </sheetViews>
  <sheetFormatPr defaultRowHeight="15"/>
  <cols>
    <col min="1" max="1" width="26.5703125" customWidth="1"/>
    <col min="4" max="4" width="32.7109375" customWidth="1"/>
    <col min="7" max="7" width="29.5703125" customWidth="1"/>
  </cols>
  <sheetData>
    <row r="1" spans="1:7" ht="18.75">
      <c r="A1" s="10" t="s">
        <v>52</v>
      </c>
      <c r="D1" s="14" t="s">
        <v>53</v>
      </c>
      <c r="G1" s="12" t="s">
        <v>54</v>
      </c>
    </row>
    <row r="2" spans="1:7" ht="19.5" thickBot="1">
      <c r="A2" s="11">
        <f>COUNT(Sheet1!A2:A26)</f>
        <v>25</v>
      </c>
      <c r="D2" s="15">
        <f>COUNTIF(Sheet1!H2:H26,"Left")</f>
        <v>10</v>
      </c>
      <c r="G2" s="13">
        <f>COUNTIF(Sheet1!H2:H26,"Left") / COUNTA(Sheet1!A2:A26) * 100</f>
        <v>40</v>
      </c>
    </row>
    <row r="22" spans="4:5">
      <c r="D22" s="4" t="s">
        <v>2</v>
      </c>
      <c r="E22" t="s">
        <v>55</v>
      </c>
    </row>
    <row r="23" spans="4:5">
      <c r="D23" s="4" t="s">
        <v>4</v>
      </c>
      <c r="E23" t="s">
        <v>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Sheet5</vt:lpstr>
      <vt:lpstr>Sheet6</vt:lpstr>
      <vt:lpstr>Sheet7</vt:lpstr>
      <vt:lpstr>Sheet10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2026-02-12T14:31:14Z</dcterms:created>
  <dcterms:modified xsi:type="dcterms:W3CDTF">2026-02-12T15:30:09Z</dcterms:modified>
</cp:coreProperties>
</file>