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60" windowWidth="20055" windowHeight="7950" activeTab="2"/>
  </bookViews>
  <sheets>
    <sheet name="Sheet4" sheetId="4" r:id="rId1"/>
    <sheet name="Sheet1" sheetId="1" r:id="rId2"/>
    <sheet name="Sheet2" sheetId="2" r:id="rId3"/>
    <sheet name="Sheet3" sheetId="3" r:id="rId4"/>
  </sheets>
  <calcPr calcId="124519"/>
  <pivotCaches>
    <pivotCache cacheId="20" r:id="rId5"/>
  </pivotCaches>
</workbook>
</file>

<file path=xl/calcChain.xml><?xml version="1.0" encoding="utf-8"?>
<calcChain xmlns="http://schemas.openxmlformats.org/spreadsheetml/2006/main">
  <c r="E4" i="2"/>
  <c r="E3"/>
  <c r="E2"/>
  <c r="L4" i="1"/>
  <c r="K3"/>
  <c r="M3" s="1"/>
  <c r="N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I4"/>
  <c r="F3"/>
  <c r="G3" s="1"/>
  <c r="H3" s="1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A4"/>
  <c r="F4" s="1"/>
  <c r="G4" s="1"/>
  <c r="H4" s="1"/>
  <c r="A3"/>
  <c r="L3" s="1"/>
  <c r="I2"/>
  <c r="K2"/>
  <c r="F2"/>
  <c r="G2" s="1"/>
  <c r="H2" s="1"/>
  <c r="L2"/>
  <c r="M2" s="1"/>
  <c r="N2" s="1"/>
  <c r="E2"/>
  <c r="D2"/>
  <c r="A5" l="1"/>
  <c r="K4"/>
  <c r="M4" s="1"/>
  <c r="N4" s="1"/>
  <c r="I3"/>
  <c r="L5" l="1"/>
  <c r="I5"/>
  <c r="F5"/>
  <c r="G5" s="1"/>
  <c r="H5" s="1"/>
  <c r="K5"/>
  <c r="A6"/>
  <c r="A7" l="1"/>
  <c r="K6"/>
  <c r="M6" s="1"/>
  <c r="N6" s="1"/>
  <c r="L6"/>
  <c r="I6"/>
  <c r="F6"/>
  <c r="G6" s="1"/>
  <c r="H6" s="1"/>
  <c r="M5"/>
  <c r="N5" s="1"/>
  <c r="A8" l="1"/>
  <c r="N7"/>
  <c r="K7"/>
  <c r="M7" s="1"/>
  <c r="L7"/>
  <c r="I7"/>
  <c r="F7"/>
  <c r="G7" s="1"/>
  <c r="H7" s="1"/>
  <c r="A9" l="1"/>
  <c r="K8"/>
  <c r="M8" s="1"/>
  <c r="N8" s="1"/>
  <c r="L8"/>
  <c r="I8"/>
  <c r="F8"/>
  <c r="G8" s="1"/>
  <c r="H8" s="1"/>
  <c r="A10" l="1"/>
  <c r="N9"/>
  <c r="K9"/>
  <c r="M9" s="1"/>
  <c r="L9"/>
  <c r="I9"/>
  <c r="F9"/>
  <c r="G9" s="1"/>
  <c r="H9" s="1"/>
  <c r="A11" l="1"/>
  <c r="L10"/>
  <c r="I10"/>
  <c r="F10"/>
  <c r="G10" s="1"/>
  <c r="H10" s="1"/>
  <c r="K10"/>
  <c r="A12" l="1"/>
  <c r="K11"/>
  <c r="L11"/>
  <c r="I11"/>
  <c r="F11"/>
  <c r="G11" s="1"/>
  <c r="H11" s="1"/>
  <c r="M10"/>
  <c r="N10" s="1"/>
  <c r="A13" l="1"/>
  <c r="F12"/>
  <c r="G12" s="1"/>
  <c r="H12" s="1"/>
  <c r="L12"/>
  <c r="K12"/>
  <c r="I12"/>
  <c r="M11"/>
  <c r="N11" s="1"/>
  <c r="A14" l="1"/>
  <c r="L13"/>
  <c r="F13"/>
  <c r="G13" s="1"/>
  <c r="H13" s="1"/>
  <c r="K13"/>
  <c r="I13"/>
  <c r="M12"/>
  <c r="N12" s="1"/>
  <c r="A15" l="1"/>
  <c r="F14"/>
  <c r="G14" s="1"/>
  <c r="H14" s="1"/>
  <c r="N14"/>
  <c r="K14"/>
  <c r="M14" s="1"/>
  <c r="L14"/>
  <c r="I14"/>
  <c r="M13"/>
  <c r="N13" s="1"/>
  <c r="A16" l="1"/>
  <c r="F15"/>
  <c r="G15" s="1"/>
  <c r="H15" s="1"/>
  <c r="N15"/>
  <c r="K15"/>
  <c r="M15" s="1"/>
  <c r="L15"/>
  <c r="I15"/>
  <c r="A17" l="1"/>
  <c r="K16"/>
  <c r="M16" s="1"/>
  <c r="N16" s="1"/>
  <c r="L16"/>
  <c r="I16"/>
  <c r="F16"/>
  <c r="G16" s="1"/>
  <c r="H16" s="1"/>
  <c r="A18" l="1"/>
  <c r="K17"/>
  <c r="M17" s="1"/>
  <c r="N17" s="1"/>
  <c r="L17"/>
  <c r="I17"/>
  <c r="F17"/>
  <c r="G17" s="1"/>
  <c r="H17" s="1"/>
  <c r="A19" l="1"/>
  <c r="L18"/>
  <c r="I18"/>
  <c r="K18"/>
  <c r="F18"/>
  <c r="G18" s="1"/>
  <c r="H18" s="1"/>
  <c r="A20" l="1"/>
  <c r="L19"/>
  <c r="I19"/>
  <c r="F19"/>
  <c r="G19" s="1"/>
  <c r="H19" s="1"/>
  <c r="K19"/>
  <c r="M18"/>
  <c r="N18" s="1"/>
  <c r="A21" l="1"/>
  <c r="F20"/>
  <c r="G20" s="1"/>
  <c r="H20" s="1"/>
  <c r="I20"/>
  <c r="N20"/>
  <c r="K20"/>
  <c r="M20" s="1"/>
  <c r="L20"/>
  <c r="M19"/>
  <c r="N19" s="1"/>
  <c r="A22" l="1"/>
  <c r="L21"/>
  <c r="F21"/>
  <c r="G21" s="1"/>
  <c r="H21" s="1"/>
  <c r="K21"/>
  <c r="I21"/>
  <c r="A23" l="1"/>
  <c r="N22"/>
  <c r="F22"/>
  <c r="G22" s="1"/>
  <c r="H22" s="1"/>
  <c r="K22"/>
  <c r="M22" s="1"/>
  <c r="L22"/>
  <c r="I22"/>
  <c r="M21"/>
  <c r="N21" s="1"/>
  <c r="A24" l="1"/>
  <c r="K23"/>
  <c r="M23" s="1"/>
  <c r="N23" s="1"/>
  <c r="L23"/>
  <c r="I23"/>
  <c r="F23"/>
  <c r="G23" s="1"/>
  <c r="H23" s="1"/>
  <c r="A25" l="1"/>
  <c r="K24"/>
  <c r="M24" s="1"/>
  <c r="N24" s="1"/>
  <c r="L24"/>
  <c r="I24"/>
  <c r="F24"/>
  <c r="G24" s="1"/>
  <c r="H24" s="1"/>
  <c r="A26" l="1"/>
  <c r="K25"/>
  <c r="M25" s="1"/>
  <c r="N25" s="1"/>
  <c r="L25"/>
  <c r="I25"/>
  <c r="F25"/>
  <c r="G25" s="1"/>
  <c r="H25" s="1"/>
  <c r="A27" l="1"/>
  <c r="K26"/>
  <c r="M26" s="1"/>
  <c r="N26" s="1"/>
  <c r="L26"/>
  <c r="I26"/>
  <c r="F26"/>
  <c r="G26" s="1"/>
  <c r="H26" s="1"/>
  <c r="A28" l="1"/>
  <c r="K27"/>
  <c r="M27" s="1"/>
  <c r="N27" s="1"/>
  <c r="L27"/>
  <c r="I27"/>
  <c r="F27"/>
  <c r="G27" s="1"/>
  <c r="H27" s="1"/>
  <c r="A29" l="1"/>
  <c r="F28"/>
  <c r="G28" s="1"/>
  <c r="H28" s="1"/>
  <c r="L28"/>
  <c r="I28"/>
  <c r="K28"/>
  <c r="A30" l="1"/>
  <c r="L29"/>
  <c r="I29"/>
  <c r="F29"/>
  <c r="G29" s="1"/>
  <c r="H29" s="1"/>
  <c r="K29"/>
  <c r="M28"/>
  <c r="N28" s="1"/>
  <c r="A31" l="1"/>
  <c r="N30"/>
  <c r="F30"/>
  <c r="G30" s="1"/>
  <c r="H30" s="1"/>
  <c r="K30"/>
  <c r="M30" s="1"/>
  <c r="L30"/>
  <c r="I30"/>
  <c r="M29"/>
  <c r="N29" s="1"/>
  <c r="N31" l="1"/>
  <c r="A32"/>
  <c r="K31"/>
  <c r="M31" s="1"/>
  <c r="L31"/>
  <c r="I31"/>
  <c r="F31"/>
  <c r="G31" s="1"/>
  <c r="H31" s="1"/>
  <c r="A33" l="1"/>
  <c r="K32"/>
  <c r="M32" s="1"/>
  <c r="N32" s="1"/>
  <c r="L32"/>
  <c r="I32"/>
  <c r="F32"/>
  <c r="G32" s="1"/>
  <c r="H32" s="1"/>
  <c r="A34" l="1"/>
  <c r="N33"/>
  <c r="K33"/>
  <c r="M33" s="1"/>
  <c r="L33"/>
  <c r="I33"/>
  <c r="F33"/>
  <c r="G33" s="1"/>
  <c r="H33" s="1"/>
  <c r="A35" l="1"/>
  <c r="L34"/>
  <c r="I34"/>
  <c r="F34"/>
  <c r="G34" s="1"/>
  <c r="H34" s="1"/>
  <c r="K34"/>
  <c r="A36" l="1"/>
  <c r="K35"/>
  <c r="M35" s="1"/>
  <c r="N35" s="1"/>
  <c r="L35"/>
  <c r="I35"/>
  <c r="F35"/>
  <c r="G35" s="1"/>
  <c r="H35" s="1"/>
  <c r="M34"/>
  <c r="N34" s="1"/>
  <c r="A37" l="1"/>
  <c r="L36"/>
  <c r="I36"/>
  <c r="F36"/>
  <c r="G36" s="1"/>
  <c r="H36" s="1"/>
  <c r="K36"/>
  <c r="A38" l="1"/>
  <c r="L37"/>
  <c r="F37"/>
  <c r="G37" s="1"/>
  <c r="H37" s="1"/>
  <c r="K37"/>
  <c r="I37"/>
  <c r="M36"/>
  <c r="N36" s="1"/>
  <c r="A39" l="1"/>
  <c r="F38"/>
  <c r="G38" s="1"/>
  <c r="H38" s="1"/>
  <c r="N38"/>
  <c r="K38"/>
  <c r="M38" s="1"/>
  <c r="L38"/>
  <c r="I38"/>
  <c r="M37"/>
  <c r="N37" s="1"/>
  <c r="A40" l="1"/>
  <c r="F39"/>
  <c r="G39" s="1"/>
  <c r="H39" s="1"/>
  <c r="N39"/>
  <c r="K39"/>
  <c r="M39" s="1"/>
  <c r="L39"/>
  <c r="I39"/>
  <c r="A41" l="1"/>
  <c r="K40"/>
  <c r="M40" s="1"/>
  <c r="N40" s="1"/>
  <c r="L40"/>
  <c r="I40"/>
  <c r="F40"/>
  <c r="G40" s="1"/>
  <c r="H40" s="1"/>
  <c r="A42" l="1"/>
  <c r="K41"/>
  <c r="L41"/>
  <c r="I41"/>
  <c r="F41"/>
  <c r="G41" s="1"/>
  <c r="H41" s="1"/>
  <c r="A43" l="1"/>
  <c r="L42"/>
  <c r="I42"/>
  <c r="K42"/>
  <c r="M42" s="1"/>
  <c r="N42" s="1"/>
  <c r="F42"/>
  <c r="G42" s="1"/>
  <c r="H42" s="1"/>
  <c r="M41"/>
  <c r="N41" s="1"/>
  <c r="A44" l="1"/>
  <c r="K43"/>
  <c r="M43" s="1"/>
  <c r="N43" s="1"/>
  <c r="L43"/>
  <c r="I43"/>
  <c r="F43"/>
  <c r="G43" s="1"/>
  <c r="H43" s="1"/>
  <c r="F44" l="1"/>
  <c r="G44" s="1"/>
  <c r="H44" s="1"/>
  <c r="L44"/>
  <c r="A45"/>
  <c r="K44"/>
  <c r="I44"/>
  <c r="L45" l="1"/>
  <c r="I45"/>
  <c r="F45"/>
  <c r="G45" s="1"/>
  <c r="H45" s="1"/>
  <c r="A46"/>
  <c r="K45"/>
  <c r="M44"/>
  <c r="N44" s="1"/>
  <c r="A47" l="1"/>
  <c r="K46"/>
  <c r="M46" s="1"/>
  <c r="N46" s="1"/>
  <c r="L46"/>
  <c r="I46"/>
  <c r="F46"/>
  <c r="G46" s="1"/>
  <c r="H46" s="1"/>
  <c r="M45"/>
  <c r="N45" s="1"/>
  <c r="A48" l="1"/>
  <c r="K47"/>
  <c r="M47" s="1"/>
  <c r="N47" s="1"/>
  <c r="L47"/>
  <c r="I47"/>
  <c r="F47"/>
  <c r="G47" s="1"/>
  <c r="H47" s="1"/>
  <c r="A49" l="1"/>
  <c r="K48"/>
  <c r="M48" s="1"/>
  <c r="N48" s="1"/>
  <c r="L48"/>
  <c r="I48"/>
  <c r="F48"/>
  <c r="G48" s="1"/>
  <c r="H48" s="1"/>
  <c r="A50" l="1"/>
  <c r="N49"/>
  <c r="K49"/>
  <c r="M49" s="1"/>
  <c r="L49"/>
  <c r="I49"/>
  <c r="F49"/>
  <c r="G49" s="1"/>
  <c r="H49" s="1"/>
  <c r="A51" l="1"/>
  <c r="L50"/>
  <c r="I50"/>
  <c r="F50"/>
  <c r="G50" s="1"/>
  <c r="H50" s="1"/>
  <c r="K50"/>
  <c r="M50" s="1"/>
  <c r="N50" s="1"/>
  <c r="A52" l="1"/>
  <c r="K51"/>
  <c r="M51" s="1"/>
  <c r="N51" s="1"/>
  <c r="L51"/>
  <c r="I51"/>
  <c r="F51"/>
  <c r="G51" s="1"/>
  <c r="H51" s="1"/>
  <c r="A53" l="1"/>
  <c r="F52"/>
  <c r="G52" s="1"/>
  <c r="H52" s="1"/>
  <c r="I52"/>
  <c r="N52"/>
  <c r="K52"/>
  <c r="M52" s="1"/>
  <c r="L52"/>
  <c r="A54" l="1"/>
  <c r="L53"/>
  <c r="F53"/>
  <c r="G53" s="1"/>
  <c r="H53" s="1"/>
  <c r="K53"/>
  <c r="M53" s="1"/>
  <c r="N53" s="1"/>
  <c r="I53"/>
  <c r="A55" l="1"/>
  <c r="F54"/>
  <c r="G54" s="1"/>
  <c r="H54" s="1"/>
  <c r="K54"/>
  <c r="M54" s="1"/>
  <c r="N54" s="1"/>
  <c r="L54"/>
  <c r="I54"/>
  <c r="F55" l="1"/>
  <c r="G55" s="1"/>
  <c r="H55" s="1"/>
  <c r="K55"/>
  <c r="M55" s="1"/>
  <c r="N55" s="1"/>
  <c r="L55"/>
  <c r="I55"/>
  <c r="A56"/>
  <c r="A57" l="1"/>
  <c r="K56"/>
  <c r="M56" s="1"/>
  <c r="N56" s="1"/>
  <c r="L56"/>
  <c r="I56"/>
  <c r="F56"/>
  <c r="G56" s="1"/>
  <c r="H56" s="1"/>
  <c r="A58" l="1"/>
  <c r="K57"/>
  <c r="M57" s="1"/>
  <c r="N57" s="1"/>
  <c r="L57"/>
  <c r="I57"/>
  <c r="F57"/>
  <c r="G57" s="1"/>
  <c r="H57" s="1"/>
  <c r="A59" l="1"/>
  <c r="L58"/>
  <c r="I58"/>
  <c r="K58"/>
  <c r="F58"/>
  <c r="G58" s="1"/>
  <c r="H58" s="1"/>
  <c r="A60" l="1"/>
  <c r="L59"/>
  <c r="I59"/>
  <c r="F59"/>
  <c r="G59" s="1"/>
  <c r="H59" s="1"/>
  <c r="K59"/>
  <c r="M58"/>
  <c r="N58" s="1"/>
  <c r="F60" l="1"/>
  <c r="G60" s="1"/>
  <c r="H60" s="1"/>
  <c r="L60"/>
  <c r="K60"/>
  <c r="I60"/>
  <c r="M59"/>
  <c r="N59" s="1"/>
  <c r="M60" l="1"/>
  <c r="N60" s="1"/>
</calcChain>
</file>

<file path=xl/sharedStrings.xml><?xml version="1.0" encoding="utf-8"?>
<sst xmlns="http://schemas.openxmlformats.org/spreadsheetml/2006/main" count="51" uniqueCount="30">
  <si>
    <t>Loan Amount</t>
  </si>
  <si>
    <t>Interest Rate (%)</t>
  </si>
  <si>
    <t>Tenure (Years)</t>
  </si>
  <si>
    <t>Monthly Interest Rate</t>
  </si>
  <si>
    <t>Total Months</t>
  </si>
  <si>
    <t>EMI Formula</t>
  </si>
  <si>
    <t>Total Payment</t>
  </si>
  <si>
    <t>Total Interest</t>
  </si>
  <si>
    <t>Month</t>
  </si>
  <si>
    <t>EMI</t>
  </si>
  <si>
    <t>Interest</t>
  </si>
  <si>
    <t>Principal</t>
  </si>
  <si>
    <t>Closing Balance</t>
  </si>
  <si>
    <t>Balnce</t>
  </si>
  <si>
    <t>Values</t>
  </si>
  <si>
    <t>Sum of EMI</t>
  </si>
  <si>
    <t>Sum of Total Payment</t>
  </si>
  <si>
    <t>Sum of Total Interest</t>
  </si>
  <si>
    <t>(All)</t>
  </si>
  <si>
    <t>Row Labels</t>
  </si>
  <si>
    <t>Grand Total</t>
  </si>
  <si>
    <t>EMI Comparison by Loan Amount</t>
  </si>
  <si>
    <t>Total Payment Trend</t>
  </si>
  <si>
    <t>Type</t>
  </si>
  <si>
    <t>Amount</t>
  </si>
  <si>
    <t>Metric</t>
  </si>
  <si>
    <t>Value</t>
  </si>
  <si>
    <t>Max EMI</t>
  </si>
  <si>
    <t>Max Total Payment</t>
  </si>
  <si>
    <t>Max Total Interest</t>
  </si>
</sst>
</file>

<file path=xl/styles.xml><?xml version="1.0" encoding="utf-8"?>
<styleSheet xmlns="http://schemas.openxmlformats.org/spreadsheetml/2006/main">
  <numFmts count="1">
    <numFmt numFmtId="8" formatCode="&quot;₹&quot;\ #,##0.00;[Red]&quot;₹&quot;\ \-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0"/>
      <name val="Arial Unicode MS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NumberFormat="1"/>
    <xf numFmtId="0" fontId="1" fillId="0" borderId="0" xfId="0" applyFont="1"/>
    <xf numFmtId="8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pivotButton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5" fillId="2" borderId="7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1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" fillId="8" borderId="7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wrapText="1"/>
    </xf>
    <xf numFmtId="0" fontId="0" fillId="8" borderId="4" xfId="0" applyFill="1" applyBorder="1" applyAlignment="1">
      <alignment wrapText="1"/>
    </xf>
    <xf numFmtId="0" fontId="0" fillId="8" borderId="9" xfId="0" applyFill="1" applyBorder="1" applyAlignment="1">
      <alignment wrapText="1"/>
    </xf>
    <xf numFmtId="0" fontId="0" fillId="8" borderId="6" xfId="0" applyFill="1" applyBorder="1" applyAlignment="1">
      <alignment wrapText="1"/>
    </xf>
  </cellXfs>
  <cellStyles count="1">
    <cellStyle name="Normal" xfId="0" builtinId="0"/>
  </cellStyles>
  <dxfs count="3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alignment horizontal="center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[EMI Calculator.xlsx]Sheet4!PivotTable1</c:name>
    <c:fmtId val="1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Sheet4!$B$4:$B$5</c:f>
              <c:strCache>
                <c:ptCount val="1"/>
                <c:pt idx="0">
                  <c:v>Sum of EMI</c:v>
                </c:pt>
              </c:strCache>
            </c:strRef>
          </c:tx>
          <c:cat>
            <c:strRef>
              <c:f>Sheet4!$A$6:$A$65</c:f>
              <c:strCache>
                <c:ptCount val="59"/>
                <c:pt idx="0">
                  <c:v>500000</c:v>
                </c:pt>
                <c:pt idx="1">
                  <c:v>500500</c:v>
                </c:pt>
                <c:pt idx="2">
                  <c:v>501000</c:v>
                </c:pt>
                <c:pt idx="3">
                  <c:v>501500</c:v>
                </c:pt>
                <c:pt idx="4">
                  <c:v>502000</c:v>
                </c:pt>
                <c:pt idx="5">
                  <c:v>502500</c:v>
                </c:pt>
                <c:pt idx="6">
                  <c:v>503000</c:v>
                </c:pt>
                <c:pt idx="7">
                  <c:v>503500</c:v>
                </c:pt>
                <c:pt idx="8">
                  <c:v>504000</c:v>
                </c:pt>
                <c:pt idx="9">
                  <c:v>504500</c:v>
                </c:pt>
                <c:pt idx="10">
                  <c:v>505000</c:v>
                </c:pt>
                <c:pt idx="11">
                  <c:v>505500</c:v>
                </c:pt>
                <c:pt idx="12">
                  <c:v>506000</c:v>
                </c:pt>
                <c:pt idx="13">
                  <c:v>506500</c:v>
                </c:pt>
                <c:pt idx="14">
                  <c:v>507000</c:v>
                </c:pt>
                <c:pt idx="15">
                  <c:v>507500</c:v>
                </c:pt>
                <c:pt idx="16">
                  <c:v>508000</c:v>
                </c:pt>
                <c:pt idx="17">
                  <c:v>508500</c:v>
                </c:pt>
                <c:pt idx="18">
                  <c:v>509000</c:v>
                </c:pt>
                <c:pt idx="19">
                  <c:v>509500</c:v>
                </c:pt>
                <c:pt idx="20">
                  <c:v>510000</c:v>
                </c:pt>
                <c:pt idx="21">
                  <c:v>510500</c:v>
                </c:pt>
                <c:pt idx="22">
                  <c:v>511000</c:v>
                </c:pt>
                <c:pt idx="23">
                  <c:v>511500</c:v>
                </c:pt>
                <c:pt idx="24">
                  <c:v>512000</c:v>
                </c:pt>
                <c:pt idx="25">
                  <c:v>512500</c:v>
                </c:pt>
                <c:pt idx="26">
                  <c:v>513000</c:v>
                </c:pt>
                <c:pt idx="27">
                  <c:v>513500</c:v>
                </c:pt>
                <c:pt idx="28">
                  <c:v>514000</c:v>
                </c:pt>
                <c:pt idx="29">
                  <c:v>514500</c:v>
                </c:pt>
                <c:pt idx="30">
                  <c:v>515000</c:v>
                </c:pt>
                <c:pt idx="31">
                  <c:v>515500</c:v>
                </c:pt>
                <c:pt idx="32">
                  <c:v>516000</c:v>
                </c:pt>
                <c:pt idx="33">
                  <c:v>516500</c:v>
                </c:pt>
                <c:pt idx="34">
                  <c:v>517000</c:v>
                </c:pt>
                <c:pt idx="35">
                  <c:v>517500</c:v>
                </c:pt>
                <c:pt idx="36">
                  <c:v>518000</c:v>
                </c:pt>
                <c:pt idx="37">
                  <c:v>518500</c:v>
                </c:pt>
                <c:pt idx="38">
                  <c:v>519000</c:v>
                </c:pt>
                <c:pt idx="39">
                  <c:v>519500</c:v>
                </c:pt>
                <c:pt idx="40">
                  <c:v>520000</c:v>
                </c:pt>
                <c:pt idx="41">
                  <c:v>520500</c:v>
                </c:pt>
                <c:pt idx="42">
                  <c:v>521000</c:v>
                </c:pt>
                <c:pt idx="43">
                  <c:v>521500</c:v>
                </c:pt>
                <c:pt idx="44">
                  <c:v>522000</c:v>
                </c:pt>
                <c:pt idx="45">
                  <c:v>522500</c:v>
                </c:pt>
                <c:pt idx="46">
                  <c:v>523000</c:v>
                </c:pt>
                <c:pt idx="47">
                  <c:v>523500</c:v>
                </c:pt>
                <c:pt idx="48">
                  <c:v>524000</c:v>
                </c:pt>
                <c:pt idx="49">
                  <c:v>524500</c:v>
                </c:pt>
                <c:pt idx="50">
                  <c:v>525000</c:v>
                </c:pt>
                <c:pt idx="51">
                  <c:v>525500</c:v>
                </c:pt>
                <c:pt idx="52">
                  <c:v>526000</c:v>
                </c:pt>
                <c:pt idx="53">
                  <c:v>526500</c:v>
                </c:pt>
                <c:pt idx="54">
                  <c:v>527000</c:v>
                </c:pt>
                <c:pt idx="55">
                  <c:v>527500</c:v>
                </c:pt>
                <c:pt idx="56">
                  <c:v>528000</c:v>
                </c:pt>
                <c:pt idx="57">
                  <c:v>528500</c:v>
                </c:pt>
                <c:pt idx="58">
                  <c:v>529000</c:v>
                </c:pt>
              </c:strCache>
            </c:strRef>
          </c:cat>
          <c:val>
            <c:numRef>
              <c:f>Sheet4!$B$6:$B$65</c:f>
              <c:numCache>
                <c:formatCode>General</c:formatCode>
                <c:ptCount val="59"/>
                <c:pt idx="0">
                  <c:v>10623.522355634175</c:v>
                </c:pt>
                <c:pt idx="1">
                  <c:v>10634.145877989808</c:v>
                </c:pt>
                <c:pt idx="2">
                  <c:v>10644.769400345442</c:v>
                </c:pt>
                <c:pt idx="3">
                  <c:v>10655.392922701076</c:v>
                </c:pt>
                <c:pt idx="4">
                  <c:v>10666.01644505671</c:v>
                </c:pt>
                <c:pt idx="5">
                  <c:v>10676.639967412346</c:v>
                </c:pt>
                <c:pt idx="6">
                  <c:v>10687.263489767978</c:v>
                </c:pt>
                <c:pt idx="7">
                  <c:v>10697.887012123614</c:v>
                </c:pt>
                <c:pt idx="8">
                  <c:v>10708.510534479246</c:v>
                </c:pt>
                <c:pt idx="9">
                  <c:v>10719.134056834881</c:v>
                </c:pt>
                <c:pt idx="10">
                  <c:v>10729.757579190516</c:v>
                </c:pt>
                <c:pt idx="11">
                  <c:v>10740.381101546149</c:v>
                </c:pt>
                <c:pt idx="12">
                  <c:v>10751.004623901785</c:v>
                </c:pt>
                <c:pt idx="13">
                  <c:v>10761.628146257419</c:v>
                </c:pt>
                <c:pt idx="14">
                  <c:v>10772.251668613051</c:v>
                </c:pt>
                <c:pt idx="15">
                  <c:v>10782.875190968687</c:v>
                </c:pt>
                <c:pt idx="16">
                  <c:v>10793.498713324319</c:v>
                </c:pt>
                <c:pt idx="17">
                  <c:v>10804.122235679955</c:v>
                </c:pt>
                <c:pt idx="18">
                  <c:v>10814.745758035589</c:v>
                </c:pt>
                <c:pt idx="19">
                  <c:v>10825.369280391224</c:v>
                </c:pt>
                <c:pt idx="20">
                  <c:v>10835.992802746858</c:v>
                </c:pt>
                <c:pt idx="21">
                  <c:v>10846.616325102492</c:v>
                </c:pt>
                <c:pt idx="22">
                  <c:v>10857.239847458126</c:v>
                </c:pt>
                <c:pt idx="23">
                  <c:v>10867.86336981376</c:v>
                </c:pt>
                <c:pt idx="24">
                  <c:v>10878.486892169394</c:v>
                </c:pt>
                <c:pt idx="25">
                  <c:v>10889.110414525028</c:v>
                </c:pt>
                <c:pt idx="26">
                  <c:v>10899.733936880662</c:v>
                </c:pt>
                <c:pt idx="27">
                  <c:v>10910.357459236297</c:v>
                </c:pt>
                <c:pt idx="28">
                  <c:v>10920.980981591931</c:v>
                </c:pt>
                <c:pt idx="29">
                  <c:v>10931.604503947565</c:v>
                </c:pt>
                <c:pt idx="30">
                  <c:v>10942.228026303199</c:v>
                </c:pt>
                <c:pt idx="31">
                  <c:v>10952.851548658833</c:v>
                </c:pt>
                <c:pt idx="32">
                  <c:v>10963.475071014467</c:v>
                </c:pt>
                <c:pt idx="33">
                  <c:v>10974.098593370101</c:v>
                </c:pt>
                <c:pt idx="34">
                  <c:v>10984.722115725737</c:v>
                </c:pt>
                <c:pt idx="35">
                  <c:v>10995.34563808137</c:v>
                </c:pt>
                <c:pt idx="36">
                  <c:v>11005.969160437004</c:v>
                </c:pt>
                <c:pt idx="37">
                  <c:v>11016.592682792638</c:v>
                </c:pt>
                <c:pt idx="38">
                  <c:v>11027.216205148272</c:v>
                </c:pt>
                <c:pt idx="39">
                  <c:v>11037.839727503908</c:v>
                </c:pt>
                <c:pt idx="40">
                  <c:v>11048.46324985954</c:v>
                </c:pt>
                <c:pt idx="41">
                  <c:v>11059.086772215174</c:v>
                </c:pt>
                <c:pt idx="42">
                  <c:v>11069.710294570808</c:v>
                </c:pt>
                <c:pt idx="43">
                  <c:v>11080.333816926443</c:v>
                </c:pt>
                <c:pt idx="44">
                  <c:v>11090.957339282078</c:v>
                </c:pt>
                <c:pt idx="45">
                  <c:v>11101.580861637711</c:v>
                </c:pt>
                <c:pt idx="46">
                  <c:v>11112.204383993347</c:v>
                </c:pt>
                <c:pt idx="47">
                  <c:v>11122.827906348981</c:v>
                </c:pt>
                <c:pt idx="48">
                  <c:v>11133.451428704613</c:v>
                </c:pt>
                <c:pt idx="49">
                  <c:v>11144.074951060249</c:v>
                </c:pt>
                <c:pt idx="50">
                  <c:v>11154.698473415881</c:v>
                </c:pt>
                <c:pt idx="51">
                  <c:v>11165.321995771517</c:v>
                </c:pt>
                <c:pt idx="52">
                  <c:v>11175.945518127151</c:v>
                </c:pt>
                <c:pt idx="53">
                  <c:v>11186.569040482784</c:v>
                </c:pt>
                <c:pt idx="54">
                  <c:v>11197.19256283842</c:v>
                </c:pt>
                <c:pt idx="55">
                  <c:v>11207.816085194054</c:v>
                </c:pt>
                <c:pt idx="56">
                  <c:v>11218.439607549688</c:v>
                </c:pt>
                <c:pt idx="57">
                  <c:v>11229.063129905322</c:v>
                </c:pt>
                <c:pt idx="58">
                  <c:v>11239.686652260956</c:v>
                </c:pt>
              </c:numCache>
            </c:numRef>
          </c:val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Sum of Total Payment</c:v>
                </c:pt>
              </c:strCache>
            </c:strRef>
          </c:tx>
          <c:cat>
            <c:strRef>
              <c:f>Sheet4!$A$6:$A$65</c:f>
              <c:strCache>
                <c:ptCount val="59"/>
                <c:pt idx="0">
                  <c:v>500000</c:v>
                </c:pt>
                <c:pt idx="1">
                  <c:v>500500</c:v>
                </c:pt>
                <c:pt idx="2">
                  <c:v>501000</c:v>
                </c:pt>
                <c:pt idx="3">
                  <c:v>501500</c:v>
                </c:pt>
                <c:pt idx="4">
                  <c:v>502000</c:v>
                </c:pt>
                <c:pt idx="5">
                  <c:v>502500</c:v>
                </c:pt>
                <c:pt idx="6">
                  <c:v>503000</c:v>
                </c:pt>
                <c:pt idx="7">
                  <c:v>503500</c:v>
                </c:pt>
                <c:pt idx="8">
                  <c:v>504000</c:v>
                </c:pt>
                <c:pt idx="9">
                  <c:v>504500</c:v>
                </c:pt>
                <c:pt idx="10">
                  <c:v>505000</c:v>
                </c:pt>
                <c:pt idx="11">
                  <c:v>505500</c:v>
                </c:pt>
                <c:pt idx="12">
                  <c:v>506000</c:v>
                </c:pt>
                <c:pt idx="13">
                  <c:v>506500</c:v>
                </c:pt>
                <c:pt idx="14">
                  <c:v>507000</c:v>
                </c:pt>
                <c:pt idx="15">
                  <c:v>507500</c:v>
                </c:pt>
                <c:pt idx="16">
                  <c:v>508000</c:v>
                </c:pt>
                <c:pt idx="17">
                  <c:v>508500</c:v>
                </c:pt>
                <c:pt idx="18">
                  <c:v>509000</c:v>
                </c:pt>
                <c:pt idx="19">
                  <c:v>509500</c:v>
                </c:pt>
                <c:pt idx="20">
                  <c:v>510000</c:v>
                </c:pt>
                <c:pt idx="21">
                  <c:v>510500</c:v>
                </c:pt>
                <c:pt idx="22">
                  <c:v>511000</c:v>
                </c:pt>
                <c:pt idx="23">
                  <c:v>511500</c:v>
                </c:pt>
                <c:pt idx="24">
                  <c:v>512000</c:v>
                </c:pt>
                <c:pt idx="25">
                  <c:v>512500</c:v>
                </c:pt>
                <c:pt idx="26">
                  <c:v>513000</c:v>
                </c:pt>
                <c:pt idx="27">
                  <c:v>513500</c:v>
                </c:pt>
                <c:pt idx="28">
                  <c:v>514000</c:v>
                </c:pt>
                <c:pt idx="29">
                  <c:v>514500</c:v>
                </c:pt>
                <c:pt idx="30">
                  <c:v>515000</c:v>
                </c:pt>
                <c:pt idx="31">
                  <c:v>515500</c:v>
                </c:pt>
                <c:pt idx="32">
                  <c:v>516000</c:v>
                </c:pt>
                <c:pt idx="33">
                  <c:v>516500</c:v>
                </c:pt>
                <c:pt idx="34">
                  <c:v>517000</c:v>
                </c:pt>
                <c:pt idx="35">
                  <c:v>517500</c:v>
                </c:pt>
                <c:pt idx="36">
                  <c:v>518000</c:v>
                </c:pt>
                <c:pt idx="37">
                  <c:v>518500</c:v>
                </c:pt>
                <c:pt idx="38">
                  <c:v>519000</c:v>
                </c:pt>
                <c:pt idx="39">
                  <c:v>519500</c:v>
                </c:pt>
                <c:pt idx="40">
                  <c:v>520000</c:v>
                </c:pt>
                <c:pt idx="41">
                  <c:v>520500</c:v>
                </c:pt>
                <c:pt idx="42">
                  <c:v>521000</c:v>
                </c:pt>
                <c:pt idx="43">
                  <c:v>521500</c:v>
                </c:pt>
                <c:pt idx="44">
                  <c:v>522000</c:v>
                </c:pt>
                <c:pt idx="45">
                  <c:v>522500</c:v>
                </c:pt>
                <c:pt idx="46">
                  <c:v>523000</c:v>
                </c:pt>
                <c:pt idx="47">
                  <c:v>523500</c:v>
                </c:pt>
                <c:pt idx="48">
                  <c:v>524000</c:v>
                </c:pt>
                <c:pt idx="49">
                  <c:v>524500</c:v>
                </c:pt>
                <c:pt idx="50">
                  <c:v>525000</c:v>
                </c:pt>
                <c:pt idx="51">
                  <c:v>525500</c:v>
                </c:pt>
                <c:pt idx="52">
                  <c:v>526000</c:v>
                </c:pt>
                <c:pt idx="53">
                  <c:v>526500</c:v>
                </c:pt>
                <c:pt idx="54">
                  <c:v>527000</c:v>
                </c:pt>
                <c:pt idx="55">
                  <c:v>527500</c:v>
                </c:pt>
                <c:pt idx="56">
                  <c:v>528000</c:v>
                </c:pt>
                <c:pt idx="57">
                  <c:v>528500</c:v>
                </c:pt>
                <c:pt idx="58">
                  <c:v>529000</c:v>
                </c:pt>
              </c:strCache>
            </c:strRef>
          </c:cat>
          <c:val>
            <c:numRef>
              <c:f>Sheet4!$C$6:$C$65</c:f>
              <c:numCache>
                <c:formatCode>General</c:formatCode>
                <c:ptCount val="59"/>
                <c:pt idx="0">
                  <c:v>637411.34133805055</c:v>
                </c:pt>
                <c:pt idx="1">
                  <c:v>638048.7526793885</c:v>
                </c:pt>
                <c:pt idx="2">
                  <c:v>638686.16402072646</c:v>
                </c:pt>
                <c:pt idx="3">
                  <c:v>639323.57536206453</c:v>
                </c:pt>
                <c:pt idx="4">
                  <c:v>639960.9867034026</c:v>
                </c:pt>
                <c:pt idx="5">
                  <c:v>640598.39804474078</c:v>
                </c:pt>
                <c:pt idx="6">
                  <c:v>641235.80938607873</c:v>
                </c:pt>
                <c:pt idx="7">
                  <c:v>641873.2207274168</c:v>
                </c:pt>
                <c:pt idx="8">
                  <c:v>642510.63206875476</c:v>
                </c:pt>
                <c:pt idx="9">
                  <c:v>643148.04341009283</c:v>
                </c:pt>
                <c:pt idx="10">
                  <c:v>643785.45475143101</c:v>
                </c:pt>
                <c:pt idx="11">
                  <c:v>644422.86609276896</c:v>
                </c:pt>
                <c:pt idx="12">
                  <c:v>645060.27743410703</c:v>
                </c:pt>
                <c:pt idx="13">
                  <c:v>645697.6887754451</c:v>
                </c:pt>
                <c:pt idx="14">
                  <c:v>646335.10011678305</c:v>
                </c:pt>
                <c:pt idx="15">
                  <c:v>646972.51145812124</c:v>
                </c:pt>
                <c:pt idx="16">
                  <c:v>647609.92279945919</c:v>
                </c:pt>
                <c:pt idx="17">
                  <c:v>648247.33414079738</c:v>
                </c:pt>
                <c:pt idx="18">
                  <c:v>648884.74548213533</c:v>
                </c:pt>
                <c:pt idx="19">
                  <c:v>649522.1568234734</c:v>
                </c:pt>
                <c:pt idx="20">
                  <c:v>650159.56816481147</c:v>
                </c:pt>
                <c:pt idx="21">
                  <c:v>650796.97950614954</c:v>
                </c:pt>
                <c:pt idx="22">
                  <c:v>651434.39084748761</c:v>
                </c:pt>
                <c:pt idx="23">
                  <c:v>652071.80218882556</c:v>
                </c:pt>
                <c:pt idx="24">
                  <c:v>652709.21353016363</c:v>
                </c:pt>
                <c:pt idx="25">
                  <c:v>653346.6248715017</c:v>
                </c:pt>
                <c:pt idx="26">
                  <c:v>653984.03621283977</c:v>
                </c:pt>
                <c:pt idx="27">
                  <c:v>654621.44755417784</c:v>
                </c:pt>
                <c:pt idx="28">
                  <c:v>655258.85889551579</c:v>
                </c:pt>
                <c:pt idx="29">
                  <c:v>655896.27023685386</c:v>
                </c:pt>
                <c:pt idx="30">
                  <c:v>656533.68157819193</c:v>
                </c:pt>
                <c:pt idx="31">
                  <c:v>657171.09291953</c:v>
                </c:pt>
                <c:pt idx="32">
                  <c:v>657808.50426086807</c:v>
                </c:pt>
                <c:pt idx="33">
                  <c:v>658445.91560220602</c:v>
                </c:pt>
                <c:pt idx="34">
                  <c:v>659083.32694354421</c:v>
                </c:pt>
                <c:pt idx="35">
                  <c:v>659720.73828488216</c:v>
                </c:pt>
                <c:pt idx="36">
                  <c:v>660358.14962622023</c:v>
                </c:pt>
                <c:pt idx="37">
                  <c:v>660995.5609675583</c:v>
                </c:pt>
                <c:pt idx="38">
                  <c:v>661632.97230889637</c:v>
                </c:pt>
                <c:pt idx="39">
                  <c:v>662270.38365023443</c:v>
                </c:pt>
                <c:pt idx="40">
                  <c:v>662907.79499157239</c:v>
                </c:pt>
                <c:pt idx="41">
                  <c:v>663545.20633291046</c:v>
                </c:pt>
                <c:pt idx="42">
                  <c:v>664182.61767424853</c:v>
                </c:pt>
                <c:pt idx="43">
                  <c:v>664820.0290155866</c:v>
                </c:pt>
                <c:pt idx="44">
                  <c:v>665457.44035692466</c:v>
                </c:pt>
                <c:pt idx="45">
                  <c:v>666094.85169826262</c:v>
                </c:pt>
                <c:pt idx="46">
                  <c:v>666732.2630396008</c:v>
                </c:pt>
                <c:pt idx="47">
                  <c:v>667369.67438093887</c:v>
                </c:pt>
                <c:pt idx="48">
                  <c:v>668007.08572227682</c:v>
                </c:pt>
                <c:pt idx="49">
                  <c:v>668644.49706361489</c:v>
                </c:pt>
                <c:pt idx="50">
                  <c:v>669281.90840495285</c:v>
                </c:pt>
                <c:pt idx="51">
                  <c:v>669919.31974629103</c:v>
                </c:pt>
                <c:pt idx="52">
                  <c:v>670556.7310876291</c:v>
                </c:pt>
                <c:pt idx="53">
                  <c:v>671194.14242896705</c:v>
                </c:pt>
                <c:pt idx="54">
                  <c:v>671831.55377030512</c:v>
                </c:pt>
                <c:pt idx="55">
                  <c:v>672468.96511164319</c:v>
                </c:pt>
                <c:pt idx="56">
                  <c:v>673106.37645298126</c:v>
                </c:pt>
                <c:pt idx="57">
                  <c:v>673743.78779431933</c:v>
                </c:pt>
                <c:pt idx="58">
                  <c:v>674381.1991356574</c:v>
                </c:pt>
              </c:numCache>
            </c:numRef>
          </c:val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Sum of Total Interest</c:v>
                </c:pt>
              </c:strCache>
            </c:strRef>
          </c:tx>
          <c:cat>
            <c:strRef>
              <c:f>Sheet4!$A$6:$A$65</c:f>
              <c:strCache>
                <c:ptCount val="59"/>
                <c:pt idx="0">
                  <c:v>500000</c:v>
                </c:pt>
                <c:pt idx="1">
                  <c:v>500500</c:v>
                </c:pt>
                <c:pt idx="2">
                  <c:v>501000</c:v>
                </c:pt>
                <c:pt idx="3">
                  <c:v>501500</c:v>
                </c:pt>
                <c:pt idx="4">
                  <c:v>502000</c:v>
                </c:pt>
                <c:pt idx="5">
                  <c:v>502500</c:v>
                </c:pt>
                <c:pt idx="6">
                  <c:v>503000</c:v>
                </c:pt>
                <c:pt idx="7">
                  <c:v>503500</c:v>
                </c:pt>
                <c:pt idx="8">
                  <c:v>504000</c:v>
                </c:pt>
                <c:pt idx="9">
                  <c:v>504500</c:v>
                </c:pt>
                <c:pt idx="10">
                  <c:v>505000</c:v>
                </c:pt>
                <c:pt idx="11">
                  <c:v>505500</c:v>
                </c:pt>
                <c:pt idx="12">
                  <c:v>506000</c:v>
                </c:pt>
                <c:pt idx="13">
                  <c:v>506500</c:v>
                </c:pt>
                <c:pt idx="14">
                  <c:v>507000</c:v>
                </c:pt>
                <c:pt idx="15">
                  <c:v>507500</c:v>
                </c:pt>
                <c:pt idx="16">
                  <c:v>508000</c:v>
                </c:pt>
                <c:pt idx="17">
                  <c:v>508500</c:v>
                </c:pt>
                <c:pt idx="18">
                  <c:v>509000</c:v>
                </c:pt>
                <c:pt idx="19">
                  <c:v>509500</c:v>
                </c:pt>
                <c:pt idx="20">
                  <c:v>510000</c:v>
                </c:pt>
                <c:pt idx="21">
                  <c:v>510500</c:v>
                </c:pt>
                <c:pt idx="22">
                  <c:v>511000</c:v>
                </c:pt>
                <c:pt idx="23">
                  <c:v>511500</c:v>
                </c:pt>
                <c:pt idx="24">
                  <c:v>512000</c:v>
                </c:pt>
                <c:pt idx="25">
                  <c:v>512500</c:v>
                </c:pt>
                <c:pt idx="26">
                  <c:v>513000</c:v>
                </c:pt>
                <c:pt idx="27">
                  <c:v>513500</c:v>
                </c:pt>
                <c:pt idx="28">
                  <c:v>514000</c:v>
                </c:pt>
                <c:pt idx="29">
                  <c:v>514500</c:v>
                </c:pt>
                <c:pt idx="30">
                  <c:v>515000</c:v>
                </c:pt>
                <c:pt idx="31">
                  <c:v>515500</c:v>
                </c:pt>
                <c:pt idx="32">
                  <c:v>516000</c:v>
                </c:pt>
                <c:pt idx="33">
                  <c:v>516500</c:v>
                </c:pt>
                <c:pt idx="34">
                  <c:v>517000</c:v>
                </c:pt>
                <c:pt idx="35">
                  <c:v>517500</c:v>
                </c:pt>
                <c:pt idx="36">
                  <c:v>518000</c:v>
                </c:pt>
                <c:pt idx="37">
                  <c:v>518500</c:v>
                </c:pt>
                <c:pt idx="38">
                  <c:v>519000</c:v>
                </c:pt>
                <c:pt idx="39">
                  <c:v>519500</c:v>
                </c:pt>
                <c:pt idx="40">
                  <c:v>520000</c:v>
                </c:pt>
                <c:pt idx="41">
                  <c:v>520500</c:v>
                </c:pt>
                <c:pt idx="42">
                  <c:v>521000</c:v>
                </c:pt>
                <c:pt idx="43">
                  <c:v>521500</c:v>
                </c:pt>
                <c:pt idx="44">
                  <c:v>522000</c:v>
                </c:pt>
                <c:pt idx="45">
                  <c:v>522500</c:v>
                </c:pt>
                <c:pt idx="46">
                  <c:v>523000</c:v>
                </c:pt>
                <c:pt idx="47">
                  <c:v>523500</c:v>
                </c:pt>
                <c:pt idx="48">
                  <c:v>524000</c:v>
                </c:pt>
                <c:pt idx="49">
                  <c:v>524500</c:v>
                </c:pt>
                <c:pt idx="50">
                  <c:v>525000</c:v>
                </c:pt>
                <c:pt idx="51">
                  <c:v>525500</c:v>
                </c:pt>
                <c:pt idx="52">
                  <c:v>526000</c:v>
                </c:pt>
                <c:pt idx="53">
                  <c:v>526500</c:v>
                </c:pt>
                <c:pt idx="54">
                  <c:v>527000</c:v>
                </c:pt>
                <c:pt idx="55">
                  <c:v>527500</c:v>
                </c:pt>
                <c:pt idx="56">
                  <c:v>528000</c:v>
                </c:pt>
                <c:pt idx="57">
                  <c:v>528500</c:v>
                </c:pt>
                <c:pt idx="58">
                  <c:v>529000</c:v>
                </c:pt>
              </c:strCache>
            </c:strRef>
          </c:cat>
          <c:val>
            <c:numRef>
              <c:f>Sheet4!$D$6:$D$65</c:f>
              <c:numCache>
                <c:formatCode>General</c:formatCode>
                <c:ptCount val="59"/>
                <c:pt idx="0">
                  <c:v>137411.34133805055</c:v>
                </c:pt>
                <c:pt idx="1">
                  <c:v>137548.7526793885</c:v>
                </c:pt>
                <c:pt idx="2">
                  <c:v>137686.16402072646</c:v>
                </c:pt>
                <c:pt idx="3">
                  <c:v>137823.57536206453</c:v>
                </c:pt>
                <c:pt idx="4">
                  <c:v>137960.9867034026</c:v>
                </c:pt>
                <c:pt idx="5">
                  <c:v>138098.39804474078</c:v>
                </c:pt>
                <c:pt idx="6">
                  <c:v>138235.80938607873</c:v>
                </c:pt>
                <c:pt idx="7">
                  <c:v>138373.2207274168</c:v>
                </c:pt>
                <c:pt idx="8">
                  <c:v>138510.63206875476</c:v>
                </c:pt>
                <c:pt idx="9">
                  <c:v>138648.04341009283</c:v>
                </c:pt>
                <c:pt idx="10">
                  <c:v>138785.45475143101</c:v>
                </c:pt>
                <c:pt idx="11">
                  <c:v>138922.86609276896</c:v>
                </c:pt>
                <c:pt idx="12">
                  <c:v>139060.27743410703</c:v>
                </c:pt>
                <c:pt idx="13">
                  <c:v>139197.6887754451</c:v>
                </c:pt>
                <c:pt idx="14">
                  <c:v>139335.10011678305</c:v>
                </c:pt>
                <c:pt idx="15">
                  <c:v>139472.51145812124</c:v>
                </c:pt>
                <c:pt idx="16">
                  <c:v>139609.92279945919</c:v>
                </c:pt>
                <c:pt idx="17">
                  <c:v>139747.33414079738</c:v>
                </c:pt>
                <c:pt idx="18">
                  <c:v>139884.74548213533</c:v>
                </c:pt>
                <c:pt idx="19">
                  <c:v>140022.1568234734</c:v>
                </c:pt>
                <c:pt idx="20">
                  <c:v>140159.56816481147</c:v>
                </c:pt>
                <c:pt idx="21">
                  <c:v>140296.97950614954</c:v>
                </c:pt>
                <c:pt idx="22">
                  <c:v>140434.39084748761</c:v>
                </c:pt>
                <c:pt idx="23">
                  <c:v>140571.80218882556</c:v>
                </c:pt>
                <c:pt idx="24">
                  <c:v>140709.21353016363</c:v>
                </c:pt>
                <c:pt idx="25">
                  <c:v>140846.6248715017</c:v>
                </c:pt>
                <c:pt idx="26">
                  <c:v>140984.03621283977</c:v>
                </c:pt>
                <c:pt idx="27">
                  <c:v>141121.44755417784</c:v>
                </c:pt>
                <c:pt idx="28">
                  <c:v>141258.85889551579</c:v>
                </c:pt>
                <c:pt idx="29">
                  <c:v>141396.27023685386</c:v>
                </c:pt>
                <c:pt idx="30">
                  <c:v>141533.68157819193</c:v>
                </c:pt>
                <c:pt idx="31">
                  <c:v>141671.09291953</c:v>
                </c:pt>
                <c:pt idx="32">
                  <c:v>141808.50426086807</c:v>
                </c:pt>
                <c:pt idx="33">
                  <c:v>141945.91560220602</c:v>
                </c:pt>
                <c:pt idx="34">
                  <c:v>142083.32694354421</c:v>
                </c:pt>
                <c:pt idx="35">
                  <c:v>142220.73828488216</c:v>
                </c:pt>
                <c:pt idx="36">
                  <c:v>142358.14962622023</c:v>
                </c:pt>
                <c:pt idx="37">
                  <c:v>142495.5609675583</c:v>
                </c:pt>
                <c:pt idx="38">
                  <c:v>142632.97230889637</c:v>
                </c:pt>
                <c:pt idx="39">
                  <c:v>142770.38365023443</c:v>
                </c:pt>
                <c:pt idx="40">
                  <c:v>142907.79499157239</c:v>
                </c:pt>
                <c:pt idx="41">
                  <c:v>143045.20633291046</c:v>
                </c:pt>
                <c:pt idx="42">
                  <c:v>143182.61767424853</c:v>
                </c:pt>
                <c:pt idx="43">
                  <c:v>143320.0290155866</c:v>
                </c:pt>
                <c:pt idx="44">
                  <c:v>143457.44035692466</c:v>
                </c:pt>
                <c:pt idx="45">
                  <c:v>143594.85169826262</c:v>
                </c:pt>
                <c:pt idx="46">
                  <c:v>143732.2630396008</c:v>
                </c:pt>
                <c:pt idx="47">
                  <c:v>143869.67438093887</c:v>
                </c:pt>
                <c:pt idx="48">
                  <c:v>144007.08572227682</c:v>
                </c:pt>
                <c:pt idx="49">
                  <c:v>144144.49706361489</c:v>
                </c:pt>
                <c:pt idx="50">
                  <c:v>144281.90840495285</c:v>
                </c:pt>
                <c:pt idx="51">
                  <c:v>144419.31974629103</c:v>
                </c:pt>
                <c:pt idx="52">
                  <c:v>144556.7310876291</c:v>
                </c:pt>
                <c:pt idx="53">
                  <c:v>144694.14242896705</c:v>
                </c:pt>
                <c:pt idx="54">
                  <c:v>144831.55377030512</c:v>
                </c:pt>
                <c:pt idx="55">
                  <c:v>144968.96511164319</c:v>
                </c:pt>
                <c:pt idx="56">
                  <c:v>145106.37645298126</c:v>
                </c:pt>
                <c:pt idx="57">
                  <c:v>145243.78779431933</c:v>
                </c:pt>
                <c:pt idx="58">
                  <c:v>145381.1991356574</c:v>
                </c:pt>
              </c:numCache>
            </c:numRef>
          </c:val>
        </c:ser>
        <c:axId val="155646592"/>
        <c:axId val="157269376"/>
      </c:barChart>
      <c:catAx>
        <c:axId val="155646592"/>
        <c:scaling>
          <c:orientation val="minMax"/>
        </c:scaling>
        <c:axPos val="b"/>
        <c:tickLblPos val="nextTo"/>
        <c:crossAx val="157269376"/>
        <c:crosses val="autoZero"/>
        <c:auto val="1"/>
        <c:lblAlgn val="ctr"/>
        <c:lblOffset val="100"/>
      </c:catAx>
      <c:valAx>
        <c:axId val="157269376"/>
        <c:scaling>
          <c:orientation val="minMax"/>
        </c:scaling>
        <c:axPos val="l"/>
        <c:majorGridlines/>
        <c:numFmt formatCode="General" sourceLinked="1"/>
        <c:tickLblPos val="nextTo"/>
        <c:crossAx val="1556465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[EMI Calculator.xlsx]Sheet4!PivotTable1</c:name>
    <c:fmtId val="3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cked"/>
        <c:ser>
          <c:idx val="0"/>
          <c:order val="0"/>
          <c:tx>
            <c:strRef>
              <c:f>Sheet4!$B$4:$B$5</c:f>
              <c:strCache>
                <c:ptCount val="1"/>
                <c:pt idx="0">
                  <c:v>Sum of EMI</c:v>
                </c:pt>
              </c:strCache>
            </c:strRef>
          </c:tx>
          <c:marker>
            <c:symbol val="none"/>
          </c:marker>
          <c:cat>
            <c:strRef>
              <c:f>Sheet4!$A$6:$A$65</c:f>
              <c:strCache>
                <c:ptCount val="59"/>
                <c:pt idx="0">
                  <c:v>500000</c:v>
                </c:pt>
                <c:pt idx="1">
                  <c:v>500500</c:v>
                </c:pt>
                <c:pt idx="2">
                  <c:v>501000</c:v>
                </c:pt>
                <c:pt idx="3">
                  <c:v>501500</c:v>
                </c:pt>
                <c:pt idx="4">
                  <c:v>502000</c:v>
                </c:pt>
                <c:pt idx="5">
                  <c:v>502500</c:v>
                </c:pt>
                <c:pt idx="6">
                  <c:v>503000</c:v>
                </c:pt>
                <c:pt idx="7">
                  <c:v>503500</c:v>
                </c:pt>
                <c:pt idx="8">
                  <c:v>504000</c:v>
                </c:pt>
                <c:pt idx="9">
                  <c:v>504500</c:v>
                </c:pt>
                <c:pt idx="10">
                  <c:v>505000</c:v>
                </c:pt>
                <c:pt idx="11">
                  <c:v>505500</c:v>
                </c:pt>
                <c:pt idx="12">
                  <c:v>506000</c:v>
                </c:pt>
                <c:pt idx="13">
                  <c:v>506500</c:v>
                </c:pt>
                <c:pt idx="14">
                  <c:v>507000</c:v>
                </c:pt>
                <c:pt idx="15">
                  <c:v>507500</c:v>
                </c:pt>
                <c:pt idx="16">
                  <c:v>508000</c:v>
                </c:pt>
                <c:pt idx="17">
                  <c:v>508500</c:v>
                </c:pt>
                <c:pt idx="18">
                  <c:v>509000</c:v>
                </c:pt>
                <c:pt idx="19">
                  <c:v>509500</c:v>
                </c:pt>
                <c:pt idx="20">
                  <c:v>510000</c:v>
                </c:pt>
                <c:pt idx="21">
                  <c:v>510500</c:v>
                </c:pt>
                <c:pt idx="22">
                  <c:v>511000</c:v>
                </c:pt>
                <c:pt idx="23">
                  <c:v>511500</c:v>
                </c:pt>
                <c:pt idx="24">
                  <c:v>512000</c:v>
                </c:pt>
                <c:pt idx="25">
                  <c:v>512500</c:v>
                </c:pt>
                <c:pt idx="26">
                  <c:v>513000</c:v>
                </c:pt>
                <c:pt idx="27">
                  <c:v>513500</c:v>
                </c:pt>
                <c:pt idx="28">
                  <c:v>514000</c:v>
                </c:pt>
                <c:pt idx="29">
                  <c:v>514500</c:v>
                </c:pt>
                <c:pt idx="30">
                  <c:v>515000</c:v>
                </c:pt>
                <c:pt idx="31">
                  <c:v>515500</c:v>
                </c:pt>
                <c:pt idx="32">
                  <c:v>516000</c:v>
                </c:pt>
                <c:pt idx="33">
                  <c:v>516500</c:v>
                </c:pt>
                <c:pt idx="34">
                  <c:v>517000</c:v>
                </c:pt>
                <c:pt idx="35">
                  <c:v>517500</c:v>
                </c:pt>
                <c:pt idx="36">
                  <c:v>518000</c:v>
                </c:pt>
                <c:pt idx="37">
                  <c:v>518500</c:v>
                </c:pt>
                <c:pt idx="38">
                  <c:v>519000</c:v>
                </c:pt>
                <c:pt idx="39">
                  <c:v>519500</c:v>
                </c:pt>
                <c:pt idx="40">
                  <c:v>520000</c:v>
                </c:pt>
                <c:pt idx="41">
                  <c:v>520500</c:v>
                </c:pt>
                <c:pt idx="42">
                  <c:v>521000</c:v>
                </c:pt>
                <c:pt idx="43">
                  <c:v>521500</c:v>
                </c:pt>
                <c:pt idx="44">
                  <c:v>522000</c:v>
                </c:pt>
                <c:pt idx="45">
                  <c:v>522500</c:v>
                </c:pt>
                <c:pt idx="46">
                  <c:v>523000</c:v>
                </c:pt>
                <c:pt idx="47">
                  <c:v>523500</c:v>
                </c:pt>
                <c:pt idx="48">
                  <c:v>524000</c:v>
                </c:pt>
                <c:pt idx="49">
                  <c:v>524500</c:v>
                </c:pt>
                <c:pt idx="50">
                  <c:v>525000</c:v>
                </c:pt>
                <c:pt idx="51">
                  <c:v>525500</c:v>
                </c:pt>
                <c:pt idx="52">
                  <c:v>526000</c:v>
                </c:pt>
                <c:pt idx="53">
                  <c:v>526500</c:v>
                </c:pt>
                <c:pt idx="54">
                  <c:v>527000</c:v>
                </c:pt>
                <c:pt idx="55">
                  <c:v>527500</c:v>
                </c:pt>
                <c:pt idx="56">
                  <c:v>528000</c:v>
                </c:pt>
                <c:pt idx="57">
                  <c:v>528500</c:v>
                </c:pt>
                <c:pt idx="58">
                  <c:v>529000</c:v>
                </c:pt>
              </c:strCache>
            </c:strRef>
          </c:cat>
          <c:val>
            <c:numRef>
              <c:f>Sheet4!$B$6:$B$65</c:f>
              <c:numCache>
                <c:formatCode>General</c:formatCode>
                <c:ptCount val="59"/>
                <c:pt idx="0">
                  <c:v>10623.522355634175</c:v>
                </c:pt>
                <c:pt idx="1">
                  <c:v>10634.145877989808</c:v>
                </c:pt>
                <c:pt idx="2">
                  <c:v>10644.769400345442</c:v>
                </c:pt>
                <c:pt idx="3">
                  <c:v>10655.392922701076</c:v>
                </c:pt>
                <c:pt idx="4">
                  <c:v>10666.01644505671</c:v>
                </c:pt>
                <c:pt idx="5">
                  <c:v>10676.639967412346</c:v>
                </c:pt>
                <c:pt idx="6">
                  <c:v>10687.263489767978</c:v>
                </c:pt>
                <c:pt idx="7">
                  <c:v>10697.887012123614</c:v>
                </c:pt>
                <c:pt idx="8">
                  <c:v>10708.510534479246</c:v>
                </c:pt>
                <c:pt idx="9">
                  <c:v>10719.134056834881</c:v>
                </c:pt>
                <c:pt idx="10">
                  <c:v>10729.757579190516</c:v>
                </c:pt>
                <c:pt idx="11">
                  <c:v>10740.381101546149</c:v>
                </c:pt>
                <c:pt idx="12">
                  <c:v>10751.004623901785</c:v>
                </c:pt>
                <c:pt idx="13">
                  <c:v>10761.628146257419</c:v>
                </c:pt>
                <c:pt idx="14">
                  <c:v>10772.251668613051</c:v>
                </c:pt>
                <c:pt idx="15">
                  <c:v>10782.875190968687</c:v>
                </c:pt>
                <c:pt idx="16">
                  <c:v>10793.498713324319</c:v>
                </c:pt>
                <c:pt idx="17">
                  <c:v>10804.122235679955</c:v>
                </c:pt>
                <c:pt idx="18">
                  <c:v>10814.745758035589</c:v>
                </c:pt>
                <c:pt idx="19">
                  <c:v>10825.369280391224</c:v>
                </c:pt>
                <c:pt idx="20">
                  <c:v>10835.992802746858</c:v>
                </c:pt>
                <c:pt idx="21">
                  <c:v>10846.616325102492</c:v>
                </c:pt>
                <c:pt idx="22">
                  <c:v>10857.239847458126</c:v>
                </c:pt>
                <c:pt idx="23">
                  <c:v>10867.86336981376</c:v>
                </c:pt>
                <c:pt idx="24">
                  <c:v>10878.486892169394</c:v>
                </c:pt>
                <c:pt idx="25">
                  <c:v>10889.110414525028</c:v>
                </c:pt>
                <c:pt idx="26">
                  <c:v>10899.733936880662</c:v>
                </c:pt>
                <c:pt idx="27">
                  <c:v>10910.357459236297</c:v>
                </c:pt>
                <c:pt idx="28">
                  <c:v>10920.980981591931</c:v>
                </c:pt>
                <c:pt idx="29">
                  <c:v>10931.604503947565</c:v>
                </c:pt>
                <c:pt idx="30">
                  <c:v>10942.228026303199</c:v>
                </c:pt>
                <c:pt idx="31">
                  <c:v>10952.851548658833</c:v>
                </c:pt>
                <c:pt idx="32">
                  <c:v>10963.475071014467</c:v>
                </c:pt>
                <c:pt idx="33">
                  <c:v>10974.098593370101</c:v>
                </c:pt>
                <c:pt idx="34">
                  <c:v>10984.722115725737</c:v>
                </c:pt>
                <c:pt idx="35">
                  <c:v>10995.34563808137</c:v>
                </c:pt>
                <c:pt idx="36">
                  <c:v>11005.969160437004</c:v>
                </c:pt>
                <c:pt idx="37">
                  <c:v>11016.592682792638</c:v>
                </c:pt>
                <c:pt idx="38">
                  <c:v>11027.216205148272</c:v>
                </c:pt>
                <c:pt idx="39">
                  <c:v>11037.839727503908</c:v>
                </c:pt>
                <c:pt idx="40">
                  <c:v>11048.46324985954</c:v>
                </c:pt>
                <c:pt idx="41">
                  <c:v>11059.086772215174</c:v>
                </c:pt>
                <c:pt idx="42">
                  <c:v>11069.710294570808</c:v>
                </c:pt>
                <c:pt idx="43">
                  <c:v>11080.333816926443</c:v>
                </c:pt>
                <c:pt idx="44">
                  <c:v>11090.957339282078</c:v>
                </c:pt>
                <c:pt idx="45">
                  <c:v>11101.580861637711</c:v>
                </c:pt>
                <c:pt idx="46">
                  <c:v>11112.204383993347</c:v>
                </c:pt>
                <c:pt idx="47">
                  <c:v>11122.827906348981</c:v>
                </c:pt>
                <c:pt idx="48">
                  <c:v>11133.451428704613</c:v>
                </c:pt>
                <c:pt idx="49">
                  <c:v>11144.074951060249</c:v>
                </c:pt>
                <c:pt idx="50">
                  <c:v>11154.698473415881</c:v>
                </c:pt>
                <c:pt idx="51">
                  <c:v>11165.321995771517</c:v>
                </c:pt>
                <c:pt idx="52">
                  <c:v>11175.945518127151</c:v>
                </c:pt>
                <c:pt idx="53">
                  <c:v>11186.569040482784</c:v>
                </c:pt>
                <c:pt idx="54">
                  <c:v>11197.19256283842</c:v>
                </c:pt>
                <c:pt idx="55">
                  <c:v>11207.816085194054</c:v>
                </c:pt>
                <c:pt idx="56">
                  <c:v>11218.439607549688</c:v>
                </c:pt>
                <c:pt idx="57">
                  <c:v>11229.063129905322</c:v>
                </c:pt>
                <c:pt idx="58">
                  <c:v>11239.686652260956</c:v>
                </c:pt>
              </c:numCache>
            </c:numRef>
          </c:val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Sum of Total Payment</c:v>
                </c:pt>
              </c:strCache>
            </c:strRef>
          </c:tx>
          <c:marker>
            <c:symbol val="none"/>
          </c:marker>
          <c:cat>
            <c:strRef>
              <c:f>Sheet4!$A$6:$A$65</c:f>
              <c:strCache>
                <c:ptCount val="59"/>
                <c:pt idx="0">
                  <c:v>500000</c:v>
                </c:pt>
                <c:pt idx="1">
                  <c:v>500500</c:v>
                </c:pt>
                <c:pt idx="2">
                  <c:v>501000</c:v>
                </c:pt>
                <c:pt idx="3">
                  <c:v>501500</c:v>
                </c:pt>
                <c:pt idx="4">
                  <c:v>502000</c:v>
                </c:pt>
                <c:pt idx="5">
                  <c:v>502500</c:v>
                </c:pt>
                <c:pt idx="6">
                  <c:v>503000</c:v>
                </c:pt>
                <c:pt idx="7">
                  <c:v>503500</c:v>
                </c:pt>
                <c:pt idx="8">
                  <c:v>504000</c:v>
                </c:pt>
                <c:pt idx="9">
                  <c:v>504500</c:v>
                </c:pt>
                <c:pt idx="10">
                  <c:v>505000</c:v>
                </c:pt>
                <c:pt idx="11">
                  <c:v>505500</c:v>
                </c:pt>
                <c:pt idx="12">
                  <c:v>506000</c:v>
                </c:pt>
                <c:pt idx="13">
                  <c:v>506500</c:v>
                </c:pt>
                <c:pt idx="14">
                  <c:v>507000</c:v>
                </c:pt>
                <c:pt idx="15">
                  <c:v>507500</c:v>
                </c:pt>
                <c:pt idx="16">
                  <c:v>508000</c:v>
                </c:pt>
                <c:pt idx="17">
                  <c:v>508500</c:v>
                </c:pt>
                <c:pt idx="18">
                  <c:v>509000</c:v>
                </c:pt>
                <c:pt idx="19">
                  <c:v>509500</c:v>
                </c:pt>
                <c:pt idx="20">
                  <c:v>510000</c:v>
                </c:pt>
                <c:pt idx="21">
                  <c:v>510500</c:v>
                </c:pt>
                <c:pt idx="22">
                  <c:v>511000</c:v>
                </c:pt>
                <c:pt idx="23">
                  <c:v>511500</c:v>
                </c:pt>
                <c:pt idx="24">
                  <c:v>512000</c:v>
                </c:pt>
                <c:pt idx="25">
                  <c:v>512500</c:v>
                </c:pt>
                <c:pt idx="26">
                  <c:v>513000</c:v>
                </c:pt>
                <c:pt idx="27">
                  <c:v>513500</c:v>
                </c:pt>
                <c:pt idx="28">
                  <c:v>514000</c:v>
                </c:pt>
                <c:pt idx="29">
                  <c:v>514500</c:v>
                </c:pt>
                <c:pt idx="30">
                  <c:v>515000</c:v>
                </c:pt>
                <c:pt idx="31">
                  <c:v>515500</c:v>
                </c:pt>
                <c:pt idx="32">
                  <c:v>516000</c:v>
                </c:pt>
                <c:pt idx="33">
                  <c:v>516500</c:v>
                </c:pt>
                <c:pt idx="34">
                  <c:v>517000</c:v>
                </c:pt>
                <c:pt idx="35">
                  <c:v>517500</c:v>
                </c:pt>
                <c:pt idx="36">
                  <c:v>518000</c:v>
                </c:pt>
                <c:pt idx="37">
                  <c:v>518500</c:v>
                </c:pt>
                <c:pt idx="38">
                  <c:v>519000</c:v>
                </c:pt>
                <c:pt idx="39">
                  <c:v>519500</c:v>
                </c:pt>
                <c:pt idx="40">
                  <c:v>520000</c:v>
                </c:pt>
                <c:pt idx="41">
                  <c:v>520500</c:v>
                </c:pt>
                <c:pt idx="42">
                  <c:v>521000</c:v>
                </c:pt>
                <c:pt idx="43">
                  <c:v>521500</c:v>
                </c:pt>
                <c:pt idx="44">
                  <c:v>522000</c:v>
                </c:pt>
                <c:pt idx="45">
                  <c:v>522500</c:v>
                </c:pt>
                <c:pt idx="46">
                  <c:v>523000</c:v>
                </c:pt>
                <c:pt idx="47">
                  <c:v>523500</c:v>
                </c:pt>
                <c:pt idx="48">
                  <c:v>524000</c:v>
                </c:pt>
                <c:pt idx="49">
                  <c:v>524500</c:v>
                </c:pt>
                <c:pt idx="50">
                  <c:v>525000</c:v>
                </c:pt>
                <c:pt idx="51">
                  <c:v>525500</c:v>
                </c:pt>
                <c:pt idx="52">
                  <c:v>526000</c:v>
                </c:pt>
                <c:pt idx="53">
                  <c:v>526500</c:v>
                </c:pt>
                <c:pt idx="54">
                  <c:v>527000</c:v>
                </c:pt>
                <c:pt idx="55">
                  <c:v>527500</c:v>
                </c:pt>
                <c:pt idx="56">
                  <c:v>528000</c:v>
                </c:pt>
                <c:pt idx="57">
                  <c:v>528500</c:v>
                </c:pt>
                <c:pt idx="58">
                  <c:v>529000</c:v>
                </c:pt>
              </c:strCache>
            </c:strRef>
          </c:cat>
          <c:val>
            <c:numRef>
              <c:f>Sheet4!$C$6:$C$65</c:f>
              <c:numCache>
                <c:formatCode>General</c:formatCode>
                <c:ptCount val="59"/>
                <c:pt idx="0">
                  <c:v>637411.34133805055</c:v>
                </c:pt>
                <c:pt idx="1">
                  <c:v>638048.7526793885</c:v>
                </c:pt>
                <c:pt idx="2">
                  <c:v>638686.16402072646</c:v>
                </c:pt>
                <c:pt idx="3">
                  <c:v>639323.57536206453</c:v>
                </c:pt>
                <c:pt idx="4">
                  <c:v>639960.9867034026</c:v>
                </c:pt>
                <c:pt idx="5">
                  <c:v>640598.39804474078</c:v>
                </c:pt>
                <c:pt idx="6">
                  <c:v>641235.80938607873</c:v>
                </c:pt>
                <c:pt idx="7">
                  <c:v>641873.2207274168</c:v>
                </c:pt>
                <c:pt idx="8">
                  <c:v>642510.63206875476</c:v>
                </c:pt>
                <c:pt idx="9">
                  <c:v>643148.04341009283</c:v>
                </c:pt>
                <c:pt idx="10">
                  <c:v>643785.45475143101</c:v>
                </c:pt>
                <c:pt idx="11">
                  <c:v>644422.86609276896</c:v>
                </c:pt>
                <c:pt idx="12">
                  <c:v>645060.27743410703</c:v>
                </c:pt>
                <c:pt idx="13">
                  <c:v>645697.6887754451</c:v>
                </c:pt>
                <c:pt idx="14">
                  <c:v>646335.10011678305</c:v>
                </c:pt>
                <c:pt idx="15">
                  <c:v>646972.51145812124</c:v>
                </c:pt>
                <c:pt idx="16">
                  <c:v>647609.92279945919</c:v>
                </c:pt>
                <c:pt idx="17">
                  <c:v>648247.33414079738</c:v>
                </c:pt>
                <c:pt idx="18">
                  <c:v>648884.74548213533</c:v>
                </c:pt>
                <c:pt idx="19">
                  <c:v>649522.1568234734</c:v>
                </c:pt>
                <c:pt idx="20">
                  <c:v>650159.56816481147</c:v>
                </c:pt>
                <c:pt idx="21">
                  <c:v>650796.97950614954</c:v>
                </c:pt>
                <c:pt idx="22">
                  <c:v>651434.39084748761</c:v>
                </c:pt>
                <c:pt idx="23">
                  <c:v>652071.80218882556</c:v>
                </c:pt>
                <c:pt idx="24">
                  <c:v>652709.21353016363</c:v>
                </c:pt>
                <c:pt idx="25">
                  <c:v>653346.6248715017</c:v>
                </c:pt>
                <c:pt idx="26">
                  <c:v>653984.03621283977</c:v>
                </c:pt>
                <c:pt idx="27">
                  <c:v>654621.44755417784</c:v>
                </c:pt>
                <c:pt idx="28">
                  <c:v>655258.85889551579</c:v>
                </c:pt>
                <c:pt idx="29">
                  <c:v>655896.27023685386</c:v>
                </c:pt>
                <c:pt idx="30">
                  <c:v>656533.68157819193</c:v>
                </c:pt>
                <c:pt idx="31">
                  <c:v>657171.09291953</c:v>
                </c:pt>
                <c:pt idx="32">
                  <c:v>657808.50426086807</c:v>
                </c:pt>
                <c:pt idx="33">
                  <c:v>658445.91560220602</c:v>
                </c:pt>
                <c:pt idx="34">
                  <c:v>659083.32694354421</c:v>
                </c:pt>
                <c:pt idx="35">
                  <c:v>659720.73828488216</c:v>
                </c:pt>
                <c:pt idx="36">
                  <c:v>660358.14962622023</c:v>
                </c:pt>
                <c:pt idx="37">
                  <c:v>660995.5609675583</c:v>
                </c:pt>
                <c:pt idx="38">
                  <c:v>661632.97230889637</c:v>
                </c:pt>
                <c:pt idx="39">
                  <c:v>662270.38365023443</c:v>
                </c:pt>
                <c:pt idx="40">
                  <c:v>662907.79499157239</c:v>
                </c:pt>
                <c:pt idx="41">
                  <c:v>663545.20633291046</c:v>
                </c:pt>
                <c:pt idx="42">
                  <c:v>664182.61767424853</c:v>
                </c:pt>
                <c:pt idx="43">
                  <c:v>664820.0290155866</c:v>
                </c:pt>
                <c:pt idx="44">
                  <c:v>665457.44035692466</c:v>
                </c:pt>
                <c:pt idx="45">
                  <c:v>666094.85169826262</c:v>
                </c:pt>
                <c:pt idx="46">
                  <c:v>666732.2630396008</c:v>
                </c:pt>
                <c:pt idx="47">
                  <c:v>667369.67438093887</c:v>
                </c:pt>
                <c:pt idx="48">
                  <c:v>668007.08572227682</c:v>
                </c:pt>
                <c:pt idx="49">
                  <c:v>668644.49706361489</c:v>
                </c:pt>
                <c:pt idx="50">
                  <c:v>669281.90840495285</c:v>
                </c:pt>
                <c:pt idx="51">
                  <c:v>669919.31974629103</c:v>
                </c:pt>
                <c:pt idx="52">
                  <c:v>670556.7310876291</c:v>
                </c:pt>
                <c:pt idx="53">
                  <c:v>671194.14242896705</c:v>
                </c:pt>
                <c:pt idx="54">
                  <c:v>671831.55377030512</c:v>
                </c:pt>
                <c:pt idx="55">
                  <c:v>672468.96511164319</c:v>
                </c:pt>
                <c:pt idx="56">
                  <c:v>673106.37645298126</c:v>
                </c:pt>
                <c:pt idx="57">
                  <c:v>673743.78779431933</c:v>
                </c:pt>
                <c:pt idx="58">
                  <c:v>674381.1991356574</c:v>
                </c:pt>
              </c:numCache>
            </c:numRef>
          </c:val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Sum of Total Interest</c:v>
                </c:pt>
              </c:strCache>
            </c:strRef>
          </c:tx>
          <c:marker>
            <c:symbol val="none"/>
          </c:marker>
          <c:cat>
            <c:strRef>
              <c:f>Sheet4!$A$6:$A$65</c:f>
              <c:strCache>
                <c:ptCount val="59"/>
                <c:pt idx="0">
                  <c:v>500000</c:v>
                </c:pt>
                <c:pt idx="1">
                  <c:v>500500</c:v>
                </c:pt>
                <c:pt idx="2">
                  <c:v>501000</c:v>
                </c:pt>
                <c:pt idx="3">
                  <c:v>501500</c:v>
                </c:pt>
                <c:pt idx="4">
                  <c:v>502000</c:v>
                </c:pt>
                <c:pt idx="5">
                  <c:v>502500</c:v>
                </c:pt>
                <c:pt idx="6">
                  <c:v>503000</c:v>
                </c:pt>
                <c:pt idx="7">
                  <c:v>503500</c:v>
                </c:pt>
                <c:pt idx="8">
                  <c:v>504000</c:v>
                </c:pt>
                <c:pt idx="9">
                  <c:v>504500</c:v>
                </c:pt>
                <c:pt idx="10">
                  <c:v>505000</c:v>
                </c:pt>
                <c:pt idx="11">
                  <c:v>505500</c:v>
                </c:pt>
                <c:pt idx="12">
                  <c:v>506000</c:v>
                </c:pt>
                <c:pt idx="13">
                  <c:v>506500</c:v>
                </c:pt>
                <c:pt idx="14">
                  <c:v>507000</c:v>
                </c:pt>
                <c:pt idx="15">
                  <c:v>507500</c:v>
                </c:pt>
                <c:pt idx="16">
                  <c:v>508000</c:v>
                </c:pt>
                <c:pt idx="17">
                  <c:v>508500</c:v>
                </c:pt>
                <c:pt idx="18">
                  <c:v>509000</c:v>
                </c:pt>
                <c:pt idx="19">
                  <c:v>509500</c:v>
                </c:pt>
                <c:pt idx="20">
                  <c:v>510000</c:v>
                </c:pt>
                <c:pt idx="21">
                  <c:v>510500</c:v>
                </c:pt>
                <c:pt idx="22">
                  <c:v>511000</c:v>
                </c:pt>
                <c:pt idx="23">
                  <c:v>511500</c:v>
                </c:pt>
                <c:pt idx="24">
                  <c:v>512000</c:v>
                </c:pt>
                <c:pt idx="25">
                  <c:v>512500</c:v>
                </c:pt>
                <c:pt idx="26">
                  <c:v>513000</c:v>
                </c:pt>
                <c:pt idx="27">
                  <c:v>513500</c:v>
                </c:pt>
                <c:pt idx="28">
                  <c:v>514000</c:v>
                </c:pt>
                <c:pt idx="29">
                  <c:v>514500</c:v>
                </c:pt>
                <c:pt idx="30">
                  <c:v>515000</c:v>
                </c:pt>
                <c:pt idx="31">
                  <c:v>515500</c:v>
                </c:pt>
                <c:pt idx="32">
                  <c:v>516000</c:v>
                </c:pt>
                <c:pt idx="33">
                  <c:v>516500</c:v>
                </c:pt>
                <c:pt idx="34">
                  <c:v>517000</c:v>
                </c:pt>
                <c:pt idx="35">
                  <c:v>517500</c:v>
                </c:pt>
                <c:pt idx="36">
                  <c:v>518000</c:v>
                </c:pt>
                <c:pt idx="37">
                  <c:v>518500</c:v>
                </c:pt>
                <c:pt idx="38">
                  <c:v>519000</c:v>
                </c:pt>
                <c:pt idx="39">
                  <c:v>519500</c:v>
                </c:pt>
                <c:pt idx="40">
                  <c:v>520000</c:v>
                </c:pt>
                <c:pt idx="41">
                  <c:v>520500</c:v>
                </c:pt>
                <c:pt idx="42">
                  <c:v>521000</c:v>
                </c:pt>
                <c:pt idx="43">
                  <c:v>521500</c:v>
                </c:pt>
                <c:pt idx="44">
                  <c:v>522000</c:v>
                </c:pt>
                <c:pt idx="45">
                  <c:v>522500</c:v>
                </c:pt>
                <c:pt idx="46">
                  <c:v>523000</c:v>
                </c:pt>
                <c:pt idx="47">
                  <c:v>523500</c:v>
                </c:pt>
                <c:pt idx="48">
                  <c:v>524000</c:v>
                </c:pt>
                <c:pt idx="49">
                  <c:v>524500</c:v>
                </c:pt>
                <c:pt idx="50">
                  <c:v>525000</c:v>
                </c:pt>
                <c:pt idx="51">
                  <c:v>525500</c:v>
                </c:pt>
                <c:pt idx="52">
                  <c:v>526000</c:v>
                </c:pt>
                <c:pt idx="53">
                  <c:v>526500</c:v>
                </c:pt>
                <c:pt idx="54">
                  <c:v>527000</c:v>
                </c:pt>
                <c:pt idx="55">
                  <c:v>527500</c:v>
                </c:pt>
                <c:pt idx="56">
                  <c:v>528000</c:v>
                </c:pt>
                <c:pt idx="57">
                  <c:v>528500</c:v>
                </c:pt>
                <c:pt idx="58">
                  <c:v>529000</c:v>
                </c:pt>
              </c:strCache>
            </c:strRef>
          </c:cat>
          <c:val>
            <c:numRef>
              <c:f>Sheet4!$D$6:$D$65</c:f>
              <c:numCache>
                <c:formatCode>General</c:formatCode>
                <c:ptCount val="59"/>
                <c:pt idx="0">
                  <c:v>137411.34133805055</c:v>
                </c:pt>
                <c:pt idx="1">
                  <c:v>137548.7526793885</c:v>
                </c:pt>
                <c:pt idx="2">
                  <c:v>137686.16402072646</c:v>
                </c:pt>
                <c:pt idx="3">
                  <c:v>137823.57536206453</c:v>
                </c:pt>
                <c:pt idx="4">
                  <c:v>137960.9867034026</c:v>
                </c:pt>
                <c:pt idx="5">
                  <c:v>138098.39804474078</c:v>
                </c:pt>
                <c:pt idx="6">
                  <c:v>138235.80938607873</c:v>
                </c:pt>
                <c:pt idx="7">
                  <c:v>138373.2207274168</c:v>
                </c:pt>
                <c:pt idx="8">
                  <c:v>138510.63206875476</c:v>
                </c:pt>
                <c:pt idx="9">
                  <c:v>138648.04341009283</c:v>
                </c:pt>
                <c:pt idx="10">
                  <c:v>138785.45475143101</c:v>
                </c:pt>
                <c:pt idx="11">
                  <c:v>138922.86609276896</c:v>
                </c:pt>
                <c:pt idx="12">
                  <c:v>139060.27743410703</c:v>
                </c:pt>
                <c:pt idx="13">
                  <c:v>139197.6887754451</c:v>
                </c:pt>
                <c:pt idx="14">
                  <c:v>139335.10011678305</c:v>
                </c:pt>
                <c:pt idx="15">
                  <c:v>139472.51145812124</c:v>
                </c:pt>
                <c:pt idx="16">
                  <c:v>139609.92279945919</c:v>
                </c:pt>
                <c:pt idx="17">
                  <c:v>139747.33414079738</c:v>
                </c:pt>
                <c:pt idx="18">
                  <c:v>139884.74548213533</c:v>
                </c:pt>
                <c:pt idx="19">
                  <c:v>140022.1568234734</c:v>
                </c:pt>
                <c:pt idx="20">
                  <c:v>140159.56816481147</c:v>
                </c:pt>
                <c:pt idx="21">
                  <c:v>140296.97950614954</c:v>
                </c:pt>
                <c:pt idx="22">
                  <c:v>140434.39084748761</c:v>
                </c:pt>
                <c:pt idx="23">
                  <c:v>140571.80218882556</c:v>
                </c:pt>
                <c:pt idx="24">
                  <c:v>140709.21353016363</c:v>
                </c:pt>
                <c:pt idx="25">
                  <c:v>140846.6248715017</c:v>
                </c:pt>
                <c:pt idx="26">
                  <c:v>140984.03621283977</c:v>
                </c:pt>
                <c:pt idx="27">
                  <c:v>141121.44755417784</c:v>
                </c:pt>
                <c:pt idx="28">
                  <c:v>141258.85889551579</c:v>
                </c:pt>
                <c:pt idx="29">
                  <c:v>141396.27023685386</c:v>
                </c:pt>
                <c:pt idx="30">
                  <c:v>141533.68157819193</c:v>
                </c:pt>
                <c:pt idx="31">
                  <c:v>141671.09291953</c:v>
                </c:pt>
                <c:pt idx="32">
                  <c:v>141808.50426086807</c:v>
                </c:pt>
                <c:pt idx="33">
                  <c:v>141945.91560220602</c:v>
                </c:pt>
                <c:pt idx="34">
                  <c:v>142083.32694354421</c:v>
                </c:pt>
                <c:pt idx="35">
                  <c:v>142220.73828488216</c:v>
                </c:pt>
                <c:pt idx="36">
                  <c:v>142358.14962622023</c:v>
                </c:pt>
                <c:pt idx="37">
                  <c:v>142495.5609675583</c:v>
                </c:pt>
                <c:pt idx="38">
                  <c:v>142632.97230889637</c:v>
                </c:pt>
                <c:pt idx="39">
                  <c:v>142770.38365023443</c:v>
                </c:pt>
                <c:pt idx="40">
                  <c:v>142907.79499157239</c:v>
                </c:pt>
                <c:pt idx="41">
                  <c:v>143045.20633291046</c:v>
                </c:pt>
                <c:pt idx="42">
                  <c:v>143182.61767424853</c:v>
                </c:pt>
                <c:pt idx="43">
                  <c:v>143320.0290155866</c:v>
                </c:pt>
                <c:pt idx="44">
                  <c:v>143457.44035692466</c:v>
                </c:pt>
                <c:pt idx="45">
                  <c:v>143594.85169826262</c:v>
                </c:pt>
                <c:pt idx="46">
                  <c:v>143732.2630396008</c:v>
                </c:pt>
                <c:pt idx="47">
                  <c:v>143869.67438093887</c:v>
                </c:pt>
                <c:pt idx="48">
                  <c:v>144007.08572227682</c:v>
                </c:pt>
                <c:pt idx="49">
                  <c:v>144144.49706361489</c:v>
                </c:pt>
                <c:pt idx="50">
                  <c:v>144281.90840495285</c:v>
                </c:pt>
                <c:pt idx="51">
                  <c:v>144419.31974629103</c:v>
                </c:pt>
                <c:pt idx="52">
                  <c:v>144556.7310876291</c:v>
                </c:pt>
                <c:pt idx="53">
                  <c:v>144694.14242896705</c:v>
                </c:pt>
                <c:pt idx="54">
                  <c:v>144831.55377030512</c:v>
                </c:pt>
                <c:pt idx="55">
                  <c:v>144968.96511164319</c:v>
                </c:pt>
                <c:pt idx="56">
                  <c:v>145106.37645298126</c:v>
                </c:pt>
                <c:pt idx="57">
                  <c:v>145243.78779431933</c:v>
                </c:pt>
                <c:pt idx="58">
                  <c:v>145381.1991356574</c:v>
                </c:pt>
              </c:numCache>
            </c:numRef>
          </c:val>
        </c:ser>
        <c:marker val="1"/>
        <c:axId val="195578880"/>
        <c:axId val="195736704"/>
      </c:lineChart>
      <c:catAx>
        <c:axId val="195578880"/>
        <c:scaling>
          <c:orientation val="minMax"/>
        </c:scaling>
        <c:axPos val="b"/>
        <c:tickLblPos val="nextTo"/>
        <c:crossAx val="195736704"/>
        <c:crosses val="autoZero"/>
        <c:auto val="1"/>
        <c:lblAlgn val="ctr"/>
        <c:lblOffset val="100"/>
      </c:catAx>
      <c:valAx>
        <c:axId val="195736704"/>
        <c:scaling>
          <c:orientation val="minMax"/>
        </c:scaling>
        <c:axPos val="l"/>
        <c:majorGridlines/>
        <c:numFmt formatCode="General" sourceLinked="1"/>
        <c:tickLblPos val="nextTo"/>
        <c:crossAx val="1955788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doughnutChart>
        <c:varyColors val="1"/>
        <c:ser>
          <c:idx val="0"/>
          <c:order val="0"/>
          <c:tx>
            <c:strRef>
              <c:f>Sheet4!$K$35</c:f>
              <c:strCache>
                <c:ptCount val="1"/>
                <c:pt idx="0">
                  <c:v>Amount</c:v>
                </c:pt>
              </c:strCache>
            </c:strRef>
          </c:tx>
          <c:cat>
            <c:strRef>
              <c:f>Sheet4!$J$36:$J$37</c:f>
              <c:strCache>
                <c:ptCount val="2"/>
                <c:pt idx="0">
                  <c:v>Principal</c:v>
                </c:pt>
                <c:pt idx="1">
                  <c:v>Interest</c:v>
                </c:pt>
              </c:strCache>
            </c:strRef>
          </c:cat>
          <c:val>
            <c:numRef>
              <c:f>Sheet4!$K$36:$K$37</c:f>
              <c:numCache>
                <c:formatCode>General</c:formatCode>
                <c:ptCount val="2"/>
                <c:pt idx="0">
                  <c:v>500000</c:v>
                </c:pt>
                <c:pt idx="1">
                  <c:v>137411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[EMI Calculator.xlsx]Sheet4!PivotTable1</c:name>
    <c:fmtId val="5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Sheet4!$B$4:$B$5</c:f>
              <c:strCache>
                <c:ptCount val="1"/>
                <c:pt idx="0">
                  <c:v>Sum of EMI</c:v>
                </c:pt>
              </c:strCache>
            </c:strRef>
          </c:tx>
          <c:cat>
            <c:strRef>
              <c:f>Sheet4!$A$6:$A$65</c:f>
              <c:strCache>
                <c:ptCount val="59"/>
                <c:pt idx="0">
                  <c:v>500000</c:v>
                </c:pt>
                <c:pt idx="1">
                  <c:v>500500</c:v>
                </c:pt>
                <c:pt idx="2">
                  <c:v>501000</c:v>
                </c:pt>
                <c:pt idx="3">
                  <c:v>501500</c:v>
                </c:pt>
                <c:pt idx="4">
                  <c:v>502000</c:v>
                </c:pt>
                <c:pt idx="5">
                  <c:v>502500</c:v>
                </c:pt>
                <c:pt idx="6">
                  <c:v>503000</c:v>
                </c:pt>
                <c:pt idx="7">
                  <c:v>503500</c:v>
                </c:pt>
                <c:pt idx="8">
                  <c:v>504000</c:v>
                </c:pt>
                <c:pt idx="9">
                  <c:v>504500</c:v>
                </c:pt>
                <c:pt idx="10">
                  <c:v>505000</c:v>
                </c:pt>
                <c:pt idx="11">
                  <c:v>505500</c:v>
                </c:pt>
                <c:pt idx="12">
                  <c:v>506000</c:v>
                </c:pt>
                <c:pt idx="13">
                  <c:v>506500</c:v>
                </c:pt>
                <c:pt idx="14">
                  <c:v>507000</c:v>
                </c:pt>
                <c:pt idx="15">
                  <c:v>507500</c:v>
                </c:pt>
                <c:pt idx="16">
                  <c:v>508000</c:v>
                </c:pt>
                <c:pt idx="17">
                  <c:v>508500</c:v>
                </c:pt>
                <c:pt idx="18">
                  <c:v>509000</c:v>
                </c:pt>
                <c:pt idx="19">
                  <c:v>509500</c:v>
                </c:pt>
                <c:pt idx="20">
                  <c:v>510000</c:v>
                </c:pt>
                <c:pt idx="21">
                  <c:v>510500</c:v>
                </c:pt>
                <c:pt idx="22">
                  <c:v>511000</c:v>
                </c:pt>
                <c:pt idx="23">
                  <c:v>511500</c:v>
                </c:pt>
                <c:pt idx="24">
                  <c:v>512000</c:v>
                </c:pt>
                <c:pt idx="25">
                  <c:v>512500</c:v>
                </c:pt>
                <c:pt idx="26">
                  <c:v>513000</c:v>
                </c:pt>
                <c:pt idx="27">
                  <c:v>513500</c:v>
                </c:pt>
                <c:pt idx="28">
                  <c:v>514000</c:v>
                </c:pt>
                <c:pt idx="29">
                  <c:v>514500</c:v>
                </c:pt>
                <c:pt idx="30">
                  <c:v>515000</c:v>
                </c:pt>
                <c:pt idx="31">
                  <c:v>515500</c:v>
                </c:pt>
                <c:pt idx="32">
                  <c:v>516000</c:v>
                </c:pt>
                <c:pt idx="33">
                  <c:v>516500</c:v>
                </c:pt>
                <c:pt idx="34">
                  <c:v>517000</c:v>
                </c:pt>
                <c:pt idx="35">
                  <c:v>517500</c:v>
                </c:pt>
                <c:pt idx="36">
                  <c:v>518000</c:v>
                </c:pt>
                <c:pt idx="37">
                  <c:v>518500</c:v>
                </c:pt>
                <c:pt idx="38">
                  <c:v>519000</c:v>
                </c:pt>
                <c:pt idx="39">
                  <c:v>519500</c:v>
                </c:pt>
                <c:pt idx="40">
                  <c:v>520000</c:v>
                </c:pt>
                <c:pt idx="41">
                  <c:v>520500</c:v>
                </c:pt>
                <c:pt idx="42">
                  <c:v>521000</c:v>
                </c:pt>
                <c:pt idx="43">
                  <c:v>521500</c:v>
                </c:pt>
                <c:pt idx="44">
                  <c:v>522000</c:v>
                </c:pt>
                <c:pt idx="45">
                  <c:v>522500</c:v>
                </c:pt>
                <c:pt idx="46">
                  <c:v>523000</c:v>
                </c:pt>
                <c:pt idx="47">
                  <c:v>523500</c:v>
                </c:pt>
                <c:pt idx="48">
                  <c:v>524000</c:v>
                </c:pt>
                <c:pt idx="49">
                  <c:v>524500</c:v>
                </c:pt>
                <c:pt idx="50">
                  <c:v>525000</c:v>
                </c:pt>
                <c:pt idx="51">
                  <c:v>525500</c:v>
                </c:pt>
                <c:pt idx="52">
                  <c:v>526000</c:v>
                </c:pt>
                <c:pt idx="53">
                  <c:v>526500</c:v>
                </c:pt>
                <c:pt idx="54">
                  <c:v>527000</c:v>
                </c:pt>
                <c:pt idx="55">
                  <c:v>527500</c:v>
                </c:pt>
                <c:pt idx="56">
                  <c:v>528000</c:v>
                </c:pt>
                <c:pt idx="57">
                  <c:v>528500</c:v>
                </c:pt>
                <c:pt idx="58">
                  <c:v>529000</c:v>
                </c:pt>
              </c:strCache>
            </c:strRef>
          </c:cat>
          <c:val>
            <c:numRef>
              <c:f>Sheet4!$B$6:$B$65</c:f>
              <c:numCache>
                <c:formatCode>General</c:formatCode>
                <c:ptCount val="59"/>
                <c:pt idx="0">
                  <c:v>10623.522355634175</c:v>
                </c:pt>
                <c:pt idx="1">
                  <c:v>10634.145877989808</c:v>
                </c:pt>
                <c:pt idx="2">
                  <c:v>10644.769400345442</c:v>
                </c:pt>
                <c:pt idx="3">
                  <c:v>10655.392922701076</c:v>
                </c:pt>
                <c:pt idx="4">
                  <c:v>10666.01644505671</c:v>
                </c:pt>
                <c:pt idx="5">
                  <c:v>10676.639967412346</c:v>
                </c:pt>
                <c:pt idx="6">
                  <c:v>10687.263489767978</c:v>
                </c:pt>
                <c:pt idx="7">
                  <c:v>10697.887012123614</c:v>
                </c:pt>
                <c:pt idx="8">
                  <c:v>10708.510534479246</c:v>
                </c:pt>
                <c:pt idx="9">
                  <c:v>10719.134056834881</c:v>
                </c:pt>
                <c:pt idx="10">
                  <c:v>10729.757579190516</c:v>
                </c:pt>
                <c:pt idx="11">
                  <c:v>10740.381101546149</c:v>
                </c:pt>
                <c:pt idx="12">
                  <c:v>10751.004623901785</c:v>
                </c:pt>
                <c:pt idx="13">
                  <c:v>10761.628146257419</c:v>
                </c:pt>
                <c:pt idx="14">
                  <c:v>10772.251668613051</c:v>
                </c:pt>
                <c:pt idx="15">
                  <c:v>10782.875190968687</c:v>
                </c:pt>
                <c:pt idx="16">
                  <c:v>10793.498713324319</c:v>
                </c:pt>
                <c:pt idx="17">
                  <c:v>10804.122235679955</c:v>
                </c:pt>
                <c:pt idx="18">
                  <c:v>10814.745758035589</c:v>
                </c:pt>
                <c:pt idx="19">
                  <c:v>10825.369280391224</c:v>
                </c:pt>
                <c:pt idx="20">
                  <c:v>10835.992802746858</c:v>
                </c:pt>
                <c:pt idx="21">
                  <c:v>10846.616325102492</c:v>
                </c:pt>
                <c:pt idx="22">
                  <c:v>10857.239847458126</c:v>
                </c:pt>
                <c:pt idx="23">
                  <c:v>10867.86336981376</c:v>
                </c:pt>
                <c:pt idx="24">
                  <c:v>10878.486892169394</c:v>
                </c:pt>
                <c:pt idx="25">
                  <c:v>10889.110414525028</c:v>
                </c:pt>
                <c:pt idx="26">
                  <c:v>10899.733936880662</c:v>
                </c:pt>
                <c:pt idx="27">
                  <c:v>10910.357459236297</c:v>
                </c:pt>
                <c:pt idx="28">
                  <c:v>10920.980981591931</c:v>
                </c:pt>
                <c:pt idx="29">
                  <c:v>10931.604503947565</c:v>
                </c:pt>
                <c:pt idx="30">
                  <c:v>10942.228026303199</c:v>
                </c:pt>
                <c:pt idx="31">
                  <c:v>10952.851548658833</c:v>
                </c:pt>
                <c:pt idx="32">
                  <c:v>10963.475071014467</c:v>
                </c:pt>
                <c:pt idx="33">
                  <c:v>10974.098593370101</c:v>
                </c:pt>
                <c:pt idx="34">
                  <c:v>10984.722115725737</c:v>
                </c:pt>
                <c:pt idx="35">
                  <c:v>10995.34563808137</c:v>
                </c:pt>
                <c:pt idx="36">
                  <c:v>11005.969160437004</c:v>
                </c:pt>
                <c:pt idx="37">
                  <c:v>11016.592682792638</c:v>
                </c:pt>
                <c:pt idx="38">
                  <c:v>11027.216205148272</c:v>
                </c:pt>
                <c:pt idx="39">
                  <c:v>11037.839727503908</c:v>
                </c:pt>
                <c:pt idx="40">
                  <c:v>11048.46324985954</c:v>
                </c:pt>
                <c:pt idx="41">
                  <c:v>11059.086772215174</c:v>
                </c:pt>
                <c:pt idx="42">
                  <c:v>11069.710294570808</c:v>
                </c:pt>
                <c:pt idx="43">
                  <c:v>11080.333816926443</c:v>
                </c:pt>
                <c:pt idx="44">
                  <c:v>11090.957339282078</c:v>
                </c:pt>
                <c:pt idx="45">
                  <c:v>11101.580861637711</c:v>
                </c:pt>
                <c:pt idx="46">
                  <c:v>11112.204383993347</c:v>
                </c:pt>
                <c:pt idx="47">
                  <c:v>11122.827906348981</c:v>
                </c:pt>
                <c:pt idx="48">
                  <c:v>11133.451428704613</c:v>
                </c:pt>
                <c:pt idx="49">
                  <c:v>11144.074951060249</c:v>
                </c:pt>
                <c:pt idx="50">
                  <c:v>11154.698473415881</c:v>
                </c:pt>
                <c:pt idx="51">
                  <c:v>11165.321995771517</c:v>
                </c:pt>
                <c:pt idx="52">
                  <c:v>11175.945518127151</c:v>
                </c:pt>
                <c:pt idx="53">
                  <c:v>11186.569040482784</c:v>
                </c:pt>
                <c:pt idx="54">
                  <c:v>11197.19256283842</c:v>
                </c:pt>
                <c:pt idx="55">
                  <c:v>11207.816085194054</c:v>
                </c:pt>
                <c:pt idx="56">
                  <c:v>11218.439607549688</c:v>
                </c:pt>
                <c:pt idx="57">
                  <c:v>11229.063129905322</c:v>
                </c:pt>
                <c:pt idx="58">
                  <c:v>11239.686652260956</c:v>
                </c:pt>
              </c:numCache>
            </c:numRef>
          </c:val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Sum of Total Payment</c:v>
                </c:pt>
              </c:strCache>
            </c:strRef>
          </c:tx>
          <c:cat>
            <c:strRef>
              <c:f>Sheet4!$A$6:$A$65</c:f>
              <c:strCache>
                <c:ptCount val="59"/>
                <c:pt idx="0">
                  <c:v>500000</c:v>
                </c:pt>
                <c:pt idx="1">
                  <c:v>500500</c:v>
                </c:pt>
                <c:pt idx="2">
                  <c:v>501000</c:v>
                </c:pt>
                <c:pt idx="3">
                  <c:v>501500</c:v>
                </c:pt>
                <c:pt idx="4">
                  <c:v>502000</c:v>
                </c:pt>
                <c:pt idx="5">
                  <c:v>502500</c:v>
                </c:pt>
                <c:pt idx="6">
                  <c:v>503000</c:v>
                </c:pt>
                <c:pt idx="7">
                  <c:v>503500</c:v>
                </c:pt>
                <c:pt idx="8">
                  <c:v>504000</c:v>
                </c:pt>
                <c:pt idx="9">
                  <c:v>504500</c:v>
                </c:pt>
                <c:pt idx="10">
                  <c:v>505000</c:v>
                </c:pt>
                <c:pt idx="11">
                  <c:v>505500</c:v>
                </c:pt>
                <c:pt idx="12">
                  <c:v>506000</c:v>
                </c:pt>
                <c:pt idx="13">
                  <c:v>506500</c:v>
                </c:pt>
                <c:pt idx="14">
                  <c:v>507000</c:v>
                </c:pt>
                <c:pt idx="15">
                  <c:v>507500</c:v>
                </c:pt>
                <c:pt idx="16">
                  <c:v>508000</c:v>
                </c:pt>
                <c:pt idx="17">
                  <c:v>508500</c:v>
                </c:pt>
                <c:pt idx="18">
                  <c:v>509000</c:v>
                </c:pt>
                <c:pt idx="19">
                  <c:v>509500</c:v>
                </c:pt>
                <c:pt idx="20">
                  <c:v>510000</c:v>
                </c:pt>
                <c:pt idx="21">
                  <c:v>510500</c:v>
                </c:pt>
                <c:pt idx="22">
                  <c:v>511000</c:v>
                </c:pt>
                <c:pt idx="23">
                  <c:v>511500</c:v>
                </c:pt>
                <c:pt idx="24">
                  <c:v>512000</c:v>
                </c:pt>
                <c:pt idx="25">
                  <c:v>512500</c:v>
                </c:pt>
                <c:pt idx="26">
                  <c:v>513000</c:v>
                </c:pt>
                <c:pt idx="27">
                  <c:v>513500</c:v>
                </c:pt>
                <c:pt idx="28">
                  <c:v>514000</c:v>
                </c:pt>
                <c:pt idx="29">
                  <c:v>514500</c:v>
                </c:pt>
                <c:pt idx="30">
                  <c:v>515000</c:v>
                </c:pt>
                <c:pt idx="31">
                  <c:v>515500</c:v>
                </c:pt>
                <c:pt idx="32">
                  <c:v>516000</c:v>
                </c:pt>
                <c:pt idx="33">
                  <c:v>516500</c:v>
                </c:pt>
                <c:pt idx="34">
                  <c:v>517000</c:v>
                </c:pt>
                <c:pt idx="35">
                  <c:v>517500</c:v>
                </c:pt>
                <c:pt idx="36">
                  <c:v>518000</c:v>
                </c:pt>
                <c:pt idx="37">
                  <c:v>518500</c:v>
                </c:pt>
                <c:pt idx="38">
                  <c:v>519000</c:v>
                </c:pt>
                <c:pt idx="39">
                  <c:v>519500</c:v>
                </c:pt>
                <c:pt idx="40">
                  <c:v>520000</c:v>
                </c:pt>
                <c:pt idx="41">
                  <c:v>520500</c:v>
                </c:pt>
                <c:pt idx="42">
                  <c:v>521000</c:v>
                </c:pt>
                <c:pt idx="43">
                  <c:v>521500</c:v>
                </c:pt>
                <c:pt idx="44">
                  <c:v>522000</c:v>
                </c:pt>
                <c:pt idx="45">
                  <c:v>522500</c:v>
                </c:pt>
                <c:pt idx="46">
                  <c:v>523000</c:v>
                </c:pt>
                <c:pt idx="47">
                  <c:v>523500</c:v>
                </c:pt>
                <c:pt idx="48">
                  <c:v>524000</c:v>
                </c:pt>
                <c:pt idx="49">
                  <c:v>524500</c:v>
                </c:pt>
                <c:pt idx="50">
                  <c:v>525000</c:v>
                </c:pt>
                <c:pt idx="51">
                  <c:v>525500</c:v>
                </c:pt>
                <c:pt idx="52">
                  <c:v>526000</c:v>
                </c:pt>
                <c:pt idx="53">
                  <c:v>526500</c:v>
                </c:pt>
                <c:pt idx="54">
                  <c:v>527000</c:v>
                </c:pt>
                <c:pt idx="55">
                  <c:v>527500</c:v>
                </c:pt>
                <c:pt idx="56">
                  <c:v>528000</c:v>
                </c:pt>
                <c:pt idx="57">
                  <c:v>528500</c:v>
                </c:pt>
                <c:pt idx="58">
                  <c:v>529000</c:v>
                </c:pt>
              </c:strCache>
            </c:strRef>
          </c:cat>
          <c:val>
            <c:numRef>
              <c:f>Sheet4!$C$6:$C$65</c:f>
              <c:numCache>
                <c:formatCode>General</c:formatCode>
                <c:ptCount val="59"/>
                <c:pt idx="0">
                  <c:v>637411.34133805055</c:v>
                </c:pt>
                <c:pt idx="1">
                  <c:v>638048.7526793885</c:v>
                </c:pt>
                <c:pt idx="2">
                  <c:v>638686.16402072646</c:v>
                </c:pt>
                <c:pt idx="3">
                  <c:v>639323.57536206453</c:v>
                </c:pt>
                <c:pt idx="4">
                  <c:v>639960.9867034026</c:v>
                </c:pt>
                <c:pt idx="5">
                  <c:v>640598.39804474078</c:v>
                </c:pt>
                <c:pt idx="6">
                  <c:v>641235.80938607873</c:v>
                </c:pt>
                <c:pt idx="7">
                  <c:v>641873.2207274168</c:v>
                </c:pt>
                <c:pt idx="8">
                  <c:v>642510.63206875476</c:v>
                </c:pt>
                <c:pt idx="9">
                  <c:v>643148.04341009283</c:v>
                </c:pt>
                <c:pt idx="10">
                  <c:v>643785.45475143101</c:v>
                </c:pt>
                <c:pt idx="11">
                  <c:v>644422.86609276896</c:v>
                </c:pt>
                <c:pt idx="12">
                  <c:v>645060.27743410703</c:v>
                </c:pt>
                <c:pt idx="13">
                  <c:v>645697.6887754451</c:v>
                </c:pt>
                <c:pt idx="14">
                  <c:v>646335.10011678305</c:v>
                </c:pt>
                <c:pt idx="15">
                  <c:v>646972.51145812124</c:v>
                </c:pt>
                <c:pt idx="16">
                  <c:v>647609.92279945919</c:v>
                </c:pt>
                <c:pt idx="17">
                  <c:v>648247.33414079738</c:v>
                </c:pt>
                <c:pt idx="18">
                  <c:v>648884.74548213533</c:v>
                </c:pt>
                <c:pt idx="19">
                  <c:v>649522.1568234734</c:v>
                </c:pt>
                <c:pt idx="20">
                  <c:v>650159.56816481147</c:v>
                </c:pt>
                <c:pt idx="21">
                  <c:v>650796.97950614954</c:v>
                </c:pt>
                <c:pt idx="22">
                  <c:v>651434.39084748761</c:v>
                </c:pt>
                <c:pt idx="23">
                  <c:v>652071.80218882556</c:v>
                </c:pt>
                <c:pt idx="24">
                  <c:v>652709.21353016363</c:v>
                </c:pt>
                <c:pt idx="25">
                  <c:v>653346.6248715017</c:v>
                </c:pt>
                <c:pt idx="26">
                  <c:v>653984.03621283977</c:v>
                </c:pt>
                <c:pt idx="27">
                  <c:v>654621.44755417784</c:v>
                </c:pt>
                <c:pt idx="28">
                  <c:v>655258.85889551579</c:v>
                </c:pt>
                <c:pt idx="29">
                  <c:v>655896.27023685386</c:v>
                </c:pt>
                <c:pt idx="30">
                  <c:v>656533.68157819193</c:v>
                </c:pt>
                <c:pt idx="31">
                  <c:v>657171.09291953</c:v>
                </c:pt>
                <c:pt idx="32">
                  <c:v>657808.50426086807</c:v>
                </c:pt>
                <c:pt idx="33">
                  <c:v>658445.91560220602</c:v>
                </c:pt>
                <c:pt idx="34">
                  <c:v>659083.32694354421</c:v>
                </c:pt>
                <c:pt idx="35">
                  <c:v>659720.73828488216</c:v>
                </c:pt>
                <c:pt idx="36">
                  <c:v>660358.14962622023</c:v>
                </c:pt>
                <c:pt idx="37">
                  <c:v>660995.5609675583</c:v>
                </c:pt>
                <c:pt idx="38">
                  <c:v>661632.97230889637</c:v>
                </c:pt>
                <c:pt idx="39">
                  <c:v>662270.38365023443</c:v>
                </c:pt>
                <c:pt idx="40">
                  <c:v>662907.79499157239</c:v>
                </c:pt>
                <c:pt idx="41">
                  <c:v>663545.20633291046</c:v>
                </c:pt>
                <c:pt idx="42">
                  <c:v>664182.61767424853</c:v>
                </c:pt>
                <c:pt idx="43">
                  <c:v>664820.0290155866</c:v>
                </c:pt>
                <c:pt idx="44">
                  <c:v>665457.44035692466</c:v>
                </c:pt>
                <c:pt idx="45">
                  <c:v>666094.85169826262</c:v>
                </c:pt>
                <c:pt idx="46">
                  <c:v>666732.2630396008</c:v>
                </c:pt>
                <c:pt idx="47">
                  <c:v>667369.67438093887</c:v>
                </c:pt>
                <c:pt idx="48">
                  <c:v>668007.08572227682</c:v>
                </c:pt>
                <c:pt idx="49">
                  <c:v>668644.49706361489</c:v>
                </c:pt>
                <c:pt idx="50">
                  <c:v>669281.90840495285</c:v>
                </c:pt>
                <c:pt idx="51">
                  <c:v>669919.31974629103</c:v>
                </c:pt>
                <c:pt idx="52">
                  <c:v>670556.7310876291</c:v>
                </c:pt>
                <c:pt idx="53">
                  <c:v>671194.14242896705</c:v>
                </c:pt>
                <c:pt idx="54">
                  <c:v>671831.55377030512</c:v>
                </c:pt>
                <c:pt idx="55">
                  <c:v>672468.96511164319</c:v>
                </c:pt>
                <c:pt idx="56">
                  <c:v>673106.37645298126</c:v>
                </c:pt>
                <c:pt idx="57">
                  <c:v>673743.78779431933</c:v>
                </c:pt>
                <c:pt idx="58">
                  <c:v>674381.1991356574</c:v>
                </c:pt>
              </c:numCache>
            </c:numRef>
          </c:val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Sum of Total Interest</c:v>
                </c:pt>
              </c:strCache>
            </c:strRef>
          </c:tx>
          <c:cat>
            <c:strRef>
              <c:f>Sheet4!$A$6:$A$65</c:f>
              <c:strCache>
                <c:ptCount val="59"/>
                <c:pt idx="0">
                  <c:v>500000</c:v>
                </c:pt>
                <c:pt idx="1">
                  <c:v>500500</c:v>
                </c:pt>
                <c:pt idx="2">
                  <c:v>501000</c:v>
                </c:pt>
                <c:pt idx="3">
                  <c:v>501500</c:v>
                </c:pt>
                <c:pt idx="4">
                  <c:v>502000</c:v>
                </c:pt>
                <c:pt idx="5">
                  <c:v>502500</c:v>
                </c:pt>
                <c:pt idx="6">
                  <c:v>503000</c:v>
                </c:pt>
                <c:pt idx="7">
                  <c:v>503500</c:v>
                </c:pt>
                <c:pt idx="8">
                  <c:v>504000</c:v>
                </c:pt>
                <c:pt idx="9">
                  <c:v>504500</c:v>
                </c:pt>
                <c:pt idx="10">
                  <c:v>505000</c:v>
                </c:pt>
                <c:pt idx="11">
                  <c:v>505500</c:v>
                </c:pt>
                <c:pt idx="12">
                  <c:v>506000</c:v>
                </c:pt>
                <c:pt idx="13">
                  <c:v>506500</c:v>
                </c:pt>
                <c:pt idx="14">
                  <c:v>507000</c:v>
                </c:pt>
                <c:pt idx="15">
                  <c:v>507500</c:v>
                </c:pt>
                <c:pt idx="16">
                  <c:v>508000</c:v>
                </c:pt>
                <c:pt idx="17">
                  <c:v>508500</c:v>
                </c:pt>
                <c:pt idx="18">
                  <c:v>509000</c:v>
                </c:pt>
                <c:pt idx="19">
                  <c:v>509500</c:v>
                </c:pt>
                <c:pt idx="20">
                  <c:v>510000</c:v>
                </c:pt>
                <c:pt idx="21">
                  <c:v>510500</c:v>
                </c:pt>
                <c:pt idx="22">
                  <c:v>511000</c:v>
                </c:pt>
                <c:pt idx="23">
                  <c:v>511500</c:v>
                </c:pt>
                <c:pt idx="24">
                  <c:v>512000</c:v>
                </c:pt>
                <c:pt idx="25">
                  <c:v>512500</c:v>
                </c:pt>
                <c:pt idx="26">
                  <c:v>513000</c:v>
                </c:pt>
                <c:pt idx="27">
                  <c:v>513500</c:v>
                </c:pt>
                <c:pt idx="28">
                  <c:v>514000</c:v>
                </c:pt>
                <c:pt idx="29">
                  <c:v>514500</c:v>
                </c:pt>
                <c:pt idx="30">
                  <c:v>515000</c:v>
                </c:pt>
                <c:pt idx="31">
                  <c:v>515500</c:v>
                </c:pt>
                <c:pt idx="32">
                  <c:v>516000</c:v>
                </c:pt>
                <c:pt idx="33">
                  <c:v>516500</c:v>
                </c:pt>
                <c:pt idx="34">
                  <c:v>517000</c:v>
                </c:pt>
                <c:pt idx="35">
                  <c:v>517500</c:v>
                </c:pt>
                <c:pt idx="36">
                  <c:v>518000</c:v>
                </c:pt>
                <c:pt idx="37">
                  <c:v>518500</c:v>
                </c:pt>
                <c:pt idx="38">
                  <c:v>519000</c:v>
                </c:pt>
                <c:pt idx="39">
                  <c:v>519500</c:v>
                </c:pt>
                <c:pt idx="40">
                  <c:v>520000</c:v>
                </c:pt>
                <c:pt idx="41">
                  <c:v>520500</c:v>
                </c:pt>
                <c:pt idx="42">
                  <c:v>521000</c:v>
                </c:pt>
                <c:pt idx="43">
                  <c:v>521500</c:v>
                </c:pt>
                <c:pt idx="44">
                  <c:v>522000</c:v>
                </c:pt>
                <c:pt idx="45">
                  <c:v>522500</c:v>
                </c:pt>
                <c:pt idx="46">
                  <c:v>523000</c:v>
                </c:pt>
                <c:pt idx="47">
                  <c:v>523500</c:v>
                </c:pt>
                <c:pt idx="48">
                  <c:v>524000</c:v>
                </c:pt>
                <c:pt idx="49">
                  <c:v>524500</c:v>
                </c:pt>
                <c:pt idx="50">
                  <c:v>525000</c:v>
                </c:pt>
                <c:pt idx="51">
                  <c:v>525500</c:v>
                </c:pt>
                <c:pt idx="52">
                  <c:v>526000</c:v>
                </c:pt>
                <c:pt idx="53">
                  <c:v>526500</c:v>
                </c:pt>
                <c:pt idx="54">
                  <c:v>527000</c:v>
                </c:pt>
                <c:pt idx="55">
                  <c:v>527500</c:v>
                </c:pt>
                <c:pt idx="56">
                  <c:v>528000</c:v>
                </c:pt>
                <c:pt idx="57">
                  <c:v>528500</c:v>
                </c:pt>
                <c:pt idx="58">
                  <c:v>529000</c:v>
                </c:pt>
              </c:strCache>
            </c:strRef>
          </c:cat>
          <c:val>
            <c:numRef>
              <c:f>Sheet4!$D$6:$D$65</c:f>
              <c:numCache>
                <c:formatCode>General</c:formatCode>
                <c:ptCount val="59"/>
                <c:pt idx="0">
                  <c:v>137411.34133805055</c:v>
                </c:pt>
                <c:pt idx="1">
                  <c:v>137548.7526793885</c:v>
                </c:pt>
                <c:pt idx="2">
                  <c:v>137686.16402072646</c:v>
                </c:pt>
                <c:pt idx="3">
                  <c:v>137823.57536206453</c:v>
                </c:pt>
                <c:pt idx="4">
                  <c:v>137960.9867034026</c:v>
                </c:pt>
                <c:pt idx="5">
                  <c:v>138098.39804474078</c:v>
                </c:pt>
                <c:pt idx="6">
                  <c:v>138235.80938607873</c:v>
                </c:pt>
                <c:pt idx="7">
                  <c:v>138373.2207274168</c:v>
                </c:pt>
                <c:pt idx="8">
                  <c:v>138510.63206875476</c:v>
                </c:pt>
                <c:pt idx="9">
                  <c:v>138648.04341009283</c:v>
                </c:pt>
                <c:pt idx="10">
                  <c:v>138785.45475143101</c:v>
                </c:pt>
                <c:pt idx="11">
                  <c:v>138922.86609276896</c:v>
                </c:pt>
                <c:pt idx="12">
                  <c:v>139060.27743410703</c:v>
                </c:pt>
                <c:pt idx="13">
                  <c:v>139197.6887754451</c:v>
                </c:pt>
                <c:pt idx="14">
                  <c:v>139335.10011678305</c:v>
                </c:pt>
                <c:pt idx="15">
                  <c:v>139472.51145812124</c:v>
                </c:pt>
                <c:pt idx="16">
                  <c:v>139609.92279945919</c:v>
                </c:pt>
                <c:pt idx="17">
                  <c:v>139747.33414079738</c:v>
                </c:pt>
                <c:pt idx="18">
                  <c:v>139884.74548213533</c:v>
                </c:pt>
                <c:pt idx="19">
                  <c:v>140022.1568234734</c:v>
                </c:pt>
                <c:pt idx="20">
                  <c:v>140159.56816481147</c:v>
                </c:pt>
                <c:pt idx="21">
                  <c:v>140296.97950614954</c:v>
                </c:pt>
                <c:pt idx="22">
                  <c:v>140434.39084748761</c:v>
                </c:pt>
                <c:pt idx="23">
                  <c:v>140571.80218882556</c:v>
                </c:pt>
                <c:pt idx="24">
                  <c:v>140709.21353016363</c:v>
                </c:pt>
                <c:pt idx="25">
                  <c:v>140846.6248715017</c:v>
                </c:pt>
                <c:pt idx="26">
                  <c:v>140984.03621283977</c:v>
                </c:pt>
                <c:pt idx="27">
                  <c:v>141121.44755417784</c:v>
                </c:pt>
                <c:pt idx="28">
                  <c:v>141258.85889551579</c:v>
                </c:pt>
                <c:pt idx="29">
                  <c:v>141396.27023685386</c:v>
                </c:pt>
                <c:pt idx="30">
                  <c:v>141533.68157819193</c:v>
                </c:pt>
                <c:pt idx="31">
                  <c:v>141671.09291953</c:v>
                </c:pt>
                <c:pt idx="32">
                  <c:v>141808.50426086807</c:v>
                </c:pt>
                <c:pt idx="33">
                  <c:v>141945.91560220602</c:v>
                </c:pt>
                <c:pt idx="34">
                  <c:v>142083.32694354421</c:v>
                </c:pt>
                <c:pt idx="35">
                  <c:v>142220.73828488216</c:v>
                </c:pt>
                <c:pt idx="36">
                  <c:v>142358.14962622023</c:v>
                </c:pt>
                <c:pt idx="37">
                  <c:v>142495.5609675583</c:v>
                </c:pt>
                <c:pt idx="38">
                  <c:v>142632.97230889637</c:v>
                </c:pt>
                <c:pt idx="39">
                  <c:v>142770.38365023443</c:v>
                </c:pt>
                <c:pt idx="40">
                  <c:v>142907.79499157239</c:v>
                </c:pt>
                <c:pt idx="41">
                  <c:v>143045.20633291046</c:v>
                </c:pt>
                <c:pt idx="42">
                  <c:v>143182.61767424853</c:v>
                </c:pt>
                <c:pt idx="43">
                  <c:v>143320.0290155866</c:v>
                </c:pt>
                <c:pt idx="44">
                  <c:v>143457.44035692466</c:v>
                </c:pt>
                <c:pt idx="45">
                  <c:v>143594.85169826262</c:v>
                </c:pt>
                <c:pt idx="46">
                  <c:v>143732.2630396008</c:v>
                </c:pt>
                <c:pt idx="47">
                  <c:v>143869.67438093887</c:v>
                </c:pt>
                <c:pt idx="48">
                  <c:v>144007.08572227682</c:v>
                </c:pt>
                <c:pt idx="49">
                  <c:v>144144.49706361489</c:v>
                </c:pt>
                <c:pt idx="50">
                  <c:v>144281.90840495285</c:v>
                </c:pt>
                <c:pt idx="51">
                  <c:v>144419.31974629103</c:v>
                </c:pt>
                <c:pt idx="52">
                  <c:v>144556.7310876291</c:v>
                </c:pt>
                <c:pt idx="53">
                  <c:v>144694.14242896705</c:v>
                </c:pt>
                <c:pt idx="54">
                  <c:v>144831.55377030512</c:v>
                </c:pt>
                <c:pt idx="55">
                  <c:v>144968.96511164319</c:v>
                </c:pt>
                <c:pt idx="56">
                  <c:v>145106.37645298126</c:v>
                </c:pt>
                <c:pt idx="57">
                  <c:v>145243.78779431933</c:v>
                </c:pt>
                <c:pt idx="58">
                  <c:v>145381.1991356574</c:v>
                </c:pt>
              </c:numCache>
            </c:numRef>
          </c:val>
        </c:ser>
        <c:axId val="203547008"/>
        <c:axId val="203548544"/>
      </c:barChart>
      <c:catAx>
        <c:axId val="203547008"/>
        <c:scaling>
          <c:orientation val="minMax"/>
        </c:scaling>
        <c:axPos val="b"/>
        <c:tickLblPos val="nextTo"/>
        <c:crossAx val="203548544"/>
        <c:crosses val="autoZero"/>
        <c:auto val="1"/>
        <c:lblAlgn val="ctr"/>
        <c:lblOffset val="100"/>
      </c:catAx>
      <c:valAx>
        <c:axId val="203548544"/>
        <c:scaling>
          <c:orientation val="minMax"/>
        </c:scaling>
        <c:axPos val="l"/>
        <c:majorGridlines/>
        <c:numFmt formatCode="General" sourceLinked="1"/>
        <c:tickLblPos val="nextTo"/>
        <c:crossAx val="2035470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[EMI Calculator.xlsx]Sheet4!PivotTable1</c:name>
    <c:fmtId val="7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</c:pivotFmts>
    <c:plotArea>
      <c:layout/>
      <c:lineChart>
        <c:grouping val="stacked"/>
        <c:ser>
          <c:idx val="0"/>
          <c:order val="0"/>
          <c:tx>
            <c:strRef>
              <c:f>Sheet4!$B$4:$B$5</c:f>
              <c:strCache>
                <c:ptCount val="1"/>
                <c:pt idx="0">
                  <c:v>Sum of EMI</c:v>
                </c:pt>
              </c:strCache>
            </c:strRef>
          </c:tx>
          <c:marker>
            <c:symbol val="none"/>
          </c:marker>
          <c:cat>
            <c:strRef>
              <c:f>Sheet4!$A$6:$A$65</c:f>
              <c:strCache>
                <c:ptCount val="59"/>
                <c:pt idx="0">
                  <c:v>500000</c:v>
                </c:pt>
                <c:pt idx="1">
                  <c:v>500500</c:v>
                </c:pt>
                <c:pt idx="2">
                  <c:v>501000</c:v>
                </c:pt>
                <c:pt idx="3">
                  <c:v>501500</c:v>
                </c:pt>
                <c:pt idx="4">
                  <c:v>502000</c:v>
                </c:pt>
                <c:pt idx="5">
                  <c:v>502500</c:v>
                </c:pt>
                <c:pt idx="6">
                  <c:v>503000</c:v>
                </c:pt>
                <c:pt idx="7">
                  <c:v>503500</c:v>
                </c:pt>
                <c:pt idx="8">
                  <c:v>504000</c:v>
                </c:pt>
                <c:pt idx="9">
                  <c:v>504500</c:v>
                </c:pt>
                <c:pt idx="10">
                  <c:v>505000</c:v>
                </c:pt>
                <c:pt idx="11">
                  <c:v>505500</c:v>
                </c:pt>
                <c:pt idx="12">
                  <c:v>506000</c:v>
                </c:pt>
                <c:pt idx="13">
                  <c:v>506500</c:v>
                </c:pt>
                <c:pt idx="14">
                  <c:v>507000</c:v>
                </c:pt>
                <c:pt idx="15">
                  <c:v>507500</c:v>
                </c:pt>
                <c:pt idx="16">
                  <c:v>508000</c:v>
                </c:pt>
                <c:pt idx="17">
                  <c:v>508500</c:v>
                </c:pt>
                <c:pt idx="18">
                  <c:v>509000</c:v>
                </c:pt>
                <c:pt idx="19">
                  <c:v>509500</c:v>
                </c:pt>
                <c:pt idx="20">
                  <c:v>510000</c:v>
                </c:pt>
                <c:pt idx="21">
                  <c:v>510500</c:v>
                </c:pt>
                <c:pt idx="22">
                  <c:v>511000</c:v>
                </c:pt>
                <c:pt idx="23">
                  <c:v>511500</c:v>
                </c:pt>
                <c:pt idx="24">
                  <c:v>512000</c:v>
                </c:pt>
                <c:pt idx="25">
                  <c:v>512500</c:v>
                </c:pt>
                <c:pt idx="26">
                  <c:v>513000</c:v>
                </c:pt>
                <c:pt idx="27">
                  <c:v>513500</c:v>
                </c:pt>
                <c:pt idx="28">
                  <c:v>514000</c:v>
                </c:pt>
                <c:pt idx="29">
                  <c:v>514500</c:v>
                </c:pt>
                <c:pt idx="30">
                  <c:v>515000</c:v>
                </c:pt>
                <c:pt idx="31">
                  <c:v>515500</c:v>
                </c:pt>
                <c:pt idx="32">
                  <c:v>516000</c:v>
                </c:pt>
                <c:pt idx="33">
                  <c:v>516500</c:v>
                </c:pt>
                <c:pt idx="34">
                  <c:v>517000</c:v>
                </c:pt>
                <c:pt idx="35">
                  <c:v>517500</c:v>
                </c:pt>
                <c:pt idx="36">
                  <c:v>518000</c:v>
                </c:pt>
                <c:pt idx="37">
                  <c:v>518500</c:v>
                </c:pt>
                <c:pt idx="38">
                  <c:v>519000</c:v>
                </c:pt>
                <c:pt idx="39">
                  <c:v>519500</c:v>
                </c:pt>
                <c:pt idx="40">
                  <c:v>520000</c:v>
                </c:pt>
                <c:pt idx="41">
                  <c:v>520500</c:v>
                </c:pt>
                <c:pt idx="42">
                  <c:v>521000</c:v>
                </c:pt>
                <c:pt idx="43">
                  <c:v>521500</c:v>
                </c:pt>
                <c:pt idx="44">
                  <c:v>522000</c:v>
                </c:pt>
                <c:pt idx="45">
                  <c:v>522500</c:v>
                </c:pt>
                <c:pt idx="46">
                  <c:v>523000</c:v>
                </c:pt>
                <c:pt idx="47">
                  <c:v>523500</c:v>
                </c:pt>
                <c:pt idx="48">
                  <c:v>524000</c:v>
                </c:pt>
                <c:pt idx="49">
                  <c:v>524500</c:v>
                </c:pt>
                <c:pt idx="50">
                  <c:v>525000</c:v>
                </c:pt>
                <c:pt idx="51">
                  <c:v>525500</c:v>
                </c:pt>
                <c:pt idx="52">
                  <c:v>526000</c:v>
                </c:pt>
                <c:pt idx="53">
                  <c:v>526500</c:v>
                </c:pt>
                <c:pt idx="54">
                  <c:v>527000</c:v>
                </c:pt>
                <c:pt idx="55">
                  <c:v>527500</c:v>
                </c:pt>
                <c:pt idx="56">
                  <c:v>528000</c:v>
                </c:pt>
                <c:pt idx="57">
                  <c:v>528500</c:v>
                </c:pt>
                <c:pt idx="58">
                  <c:v>529000</c:v>
                </c:pt>
              </c:strCache>
            </c:strRef>
          </c:cat>
          <c:val>
            <c:numRef>
              <c:f>Sheet4!$B$6:$B$65</c:f>
              <c:numCache>
                <c:formatCode>General</c:formatCode>
                <c:ptCount val="59"/>
                <c:pt idx="0">
                  <c:v>10623.522355634175</c:v>
                </c:pt>
                <c:pt idx="1">
                  <c:v>10634.145877989808</c:v>
                </c:pt>
                <c:pt idx="2">
                  <c:v>10644.769400345442</c:v>
                </c:pt>
                <c:pt idx="3">
                  <c:v>10655.392922701076</c:v>
                </c:pt>
                <c:pt idx="4">
                  <c:v>10666.01644505671</c:v>
                </c:pt>
                <c:pt idx="5">
                  <c:v>10676.639967412346</c:v>
                </c:pt>
                <c:pt idx="6">
                  <c:v>10687.263489767978</c:v>
                </c:pt>
                <c:pt idx="7">
                  <c:v>10697.887012123614</c:v>
                </c:pt>
                <c:pt idx="8">
                  <c:v>10708.510534479246</c:v>
                </c:pt>
                <c:pt idx="9">
                  <c:v>10719.134056834881</c:v>
                </c:pt>
                <c:pt idx="10">
                  <c:v>10729.757579190516</c:v>
                </c:pt>
                <c:pt idx="11">
                  <c:v>10740.381101546149</c:v>
                </c:pt>
                <c:pt idx="12">
                  <c:v>10751.004623901785</c:v>
                </c:pt>
                <c:pt idx="13">
                  <c:v>10761.628146257419</c:v>
                </c:pt>
                <c:pt idx="14">
                  <c:v>10772.251668613051</c:v>
                </c:pt>
                <c:pt idx="15">
                  <c:v>10782.875190968687</c:v>
                </c:pt>
                <c:pt idx="16">
                  <c:v>10793.498713324319</c:v>
                </c:pt>
                <c:pt idx="17">
                  <c:v>10804.122235679955</c:v>
                </c:pt>
                <c:pt idx="18">
                  <c:v>10814.745758035589</c:v>
                </c:pt>
                <c:pt idx="19">
                  <c:v>10825.369280391224</c:v>
                </c:pt>
                <c:pt idx="20">
                  <c:v>10835.992802746858</c:v>
                </c:pt>
                <c:pt idx="21">
                  <c:v>10846.616325102492</c:v>
                </c:pt>
                <c:pt idx="22">
                  <c:v>10857.239847458126</c:v>
                </c:pt>
                <c:pt idx="23">
                  <c:v>10867.86336981376</c:v>
                </c:pt>
                <c:pt idx="24">
                  <c:v>10878.486892169394</c:v>
                </c:pt>
                <c:pt idx="25">
                  <c:v>10889.110414525028</c:v>
                </c:pt>
                <c:pt idx="26">
                  <c:v>10899.733936880662</c:v>
                </c:pt>
                <c:pt idx="27">
                  <c:v>10910.357459236297</c:v>
                </c:pt>
                <c:pt idx="28">
                  <c:v>10920.980981591931</c:v>
                </c:pt>
                <c:pt idx="29">
                  <c:v>10931.604503947565</c:v>
                </c:pt>
                <c:pt idx="30">
                  <c:v>10942.228026303199</c:v>
                </c:pt>
                <c:pt idx="31">
                  <c:v>10952.851548658833</c:v>
                </c:pt>
                <c:pt idx="32">
                  <c:v>10963.475071014467</c:v>
                </c:pt>
                <c:pt idx="33">
                  <c:v>10974.098593370101</c:v>
                </c:pt>
                <c:pt idx="34">
                  <c:v>10984.722115725737</c:v>
                </c:pt>
                <c:pt idx="35">
                  <c:v>10995.34563808137</c:v>
                </c:pt>
                <c:pt idx="36">
                  <c:v>11005.969160437004</c:v>
                </c:pt>
                <c:pt idx="37">
                  <c:v>11016.592682792638</c:v>
                </c:pt>
                <c:pt idx="38">
                  <c:v>11027.216205148272</c:v>
                </c:pt>
                <c:pt idx="39">
                  <c:v>11037.839727503908</c:v>
                </c:pt>
                <c:pt idx="40">
                  <c:v>11048.46324985954</c:v>
                </c:pt>
                <c:pt idx="41">
                  <c:v>11059.086772215174</c:v>
                </c:pt>
                <c:pt idx="42">
                  <c:v>11069.710294570808</c:v>
                </c:pt>
                <c:pt idx="43">
                  <c:v>11080.333816926443</c:v>
                </c:pt>
                <c:pt idx="44">
                  <c:v>11090.957339282078</c:v>
                </c:pt>
                <c:pt idx="45">
                  <c:v>11101.580861637711</c:v>
                </c:pt>
                <c:pt idx="46">
                  <c:v>11112.204383993347</c:v>
                </c:pt>
                <c:pt idx="47">
                  <c:v>11122.827906348981</c:v>
                </c:pt>
                <c:pt idx="48">
                  <c:v>11133.451428704613</c:v>
                </c:pt>
                <c:pt idx="49">
                  <c:v>11144.074951060249</c:v>
                </c:pt>
                <c:pt idx="50">
                  <c:v>11154.698473415881</c:v>
                </c:pt>
                <c:pt idx="51">
                  <c:v>11165.321995771517</c:v>
                </c:pt>
                <c:pt idx="52">
                  <c:v>11175.945518127151</c:v>
                </c:pt>
                <c:pt idx="53">
                  <c:v>11186.569040482784</c:v>
                </c:pt>
                <c:pt idx="54">
                  <c:v>11197.19256283842</c:v>
                </c:pt>
                <c:pt idx="55">
                  <c:v>11207.816085194054</c:v>
                </c:pt>
                <c:pt idx="56">
                  <c:v>11218.439607549688</c:v>
                </c:pt>
                <c:pt idx="57">
                  <c:v>11229.063129905322</c:v>
                </c:pt>
                <c:pt idx="58">
                  <c:v>11239.686652260956</c:v>
                </c:pt>
              </c:numCache>
            </c:numRef>
          </c:val>
        </c:ser>
        <c:ser>
          <c:idx val="1"/>
          <c:order val="1"/>
          <c:tx>
            <c:strRef>
              <c:f>Sheet4!$C$4:$C$5</c:f>
              <c:strCache>
                <c:ptCount val="1"/>
                <c:pt idx="0">
                  <c:v>Sum of Total Payment</c:v>
                </c:pt>
              </c:strCache>
            </c:strRef>
          </c:tx>
          <c:marker>
            <c:symbol val="none"/>
          </c:marker>
          <c:cat>
            <c:strRef>
              <c:f>Sheet4!$A$6:$A$65</c:f>
              <c:strCache>
                <c:ptCount val="59"/>
                <c:pt idx="0">
                  <c:v>500000</c:v>
                </c:pt>
                <c:pt idx="1">
                  <c:v>500500</c:v>
                </c:pt>
                <c:pt idx="2">
                  <c:v>501000</c:v>
                </c:pt>
                <c:pt idx="3">
                  <c:v>501500</c:v>
                </c:pt>
                <c:pt idx="4">
                  <c:v>502000</c:v>
                </c:pt>
                <c:pt idx="5">
                  <c:v>502500</c:v>
                </c:pt>
                <c:pt idx="6">
                  <c:v>503000</c:v>
                </c:pt>
                <c:pt idx="7">
                  <c:v>503500</c:v>
                </c:pt>
                <c:pt idx="8">
                  <c:v>504000</c:v>
                </c:pt>
                <c:pt idx="9">
                  <c:v>504500</c:v>
                </c:pt>
                <c:pt idx="10">
                  <c:v>505000</c:v>
                </c:pt>
                <c:pt idx="11">
                  <c:v>505500</c:v>
                </c:pt>
                <c:pt idx="12">
                  <c:v>506000</c:v>
                </c:pt>
                <c:pt idx="13">
                  <c:v>506500</c:v>
                </c:pt>
                <c:pt idx="14">
                  <c:v>507000</c:v>
                </c:pt>
                <c:pt idx="15">
                  <c:v>507500</c:v>
                </c:pt>
                <c:pt idx="16">
                  <c:v>508000</c:v>
                </c:pt>
                <c:pt idx="17">
                  <c:v>508500</c:v>
                </c:pt>
                <c:pt idx="18">
                  <c:v>509000</c:v>
                </c:pt>
                <c:pt idx="19">
                  <c:v>509500</c:v>
                </c:pt>
                <c:pt idx="20">
                  <c:v>510000</c:v>
                </c:pt>
                <c:pt idx="21">
                  <c:v>510500</c:v>
                </c:pt>
                <c:pt idx="22">
                  <c:v>511000</c:v>
                </c:pt>
                <c:pt idx="23">
                  <c:v>511500</c:v>
                </c:pt>
                <c:pt idx="24">
                  <c:v>512000</c:v>
                </c:pt>
                <c:pt idx="25">
                  <c:v>512500</c:v>
                </c:pt>
                <c:pt idx="26">
                  <c:v>513000</c:v>
                </c:pt>
                <c:pt idx="27">
                  <c:v>513500</c:v>
                </c:pt>
                <c:pt idx="28">
                  <c:v>514000</c:v>
                </c:pt>
                <c:pt idx="29">
                  <c:v>514500</c:v>
                </c:pt>
                <c:pt idx="30">
                  <c:v>515000</c:v>
                </c:pt>
                <c:pt idx="31">
                  <c:v>515500</c:v>
                </c:pt>
                <c:pt idx="32">
                  <c:v>516000</c:v>
                </c:pt>
                <c:pt idx="33">
                  <c:v>516500</c:v>
                </c:pt>
                <c:pt idx="34">
                  <c:v>517000</c:v>
                </c:pt>
                <c:pt idx="35">
                  <c:v>517500</c:v>
                </c:pt>
                <c:pt idx="36">
                  <c:v>518000</c:v>
                </c:pt>
                <c:pt idx="37">
                  <c:v>518500</c:v>
                </c:pt>
                <c:pt idx="38">
                  <c:v>519000</c:v>
                </c:pt>
                <c:pt idx="39">
                  <c:v>519500</c:v>
                </c:pt>
                <c:pt idx="40">
                  <c:v>520000</c:v>
                </c:pt>
                <c:pt idx="41">
                  <c:v>520500</c:v>
                </c:pt>
                <c:pt idx="42">
                  <c:v>521000</c:v>
                </c:pt>
                <c:pt idx="43">
                  <c:v>521500</c:v>
                </c:pt>
                <c:pt idx="44">
                  <c:v>522000</c:v>
                </c:pt>
                <c:pt idx="45">
                  <c:v>522500</c:v>
                </c:pt>
                <c:pt idx="46">
                  <c:v>523000</c:v>
                </c:pt>
                <c:pt idx="47">
                  <c:v>523500</c:v>
                </c:pt>
                <c:pt idx="48">
                  <c:v>524000</c:v>
                </c:pt>
                <c:pt idx="49">
                  <c:v>524500</c:v>
                </c:pt>
                <c:pt idx="50">
                  <c:v>525000</c:v>
                </c:pt>
                <c:pt idx="51">
                  <c:v>525500</c:v>
                </c:pt>
                <c:pt idx="52">
                  <c:v>526000</c:v>
                </c:pt>
                <c:pt idx="53">
                  <c:v>526500</c:v>
                </c:pt>
                <c:pt idx="54">
                  <c:v>527000</c:v>
                </c:pt>
                <c:pt idx="55">
                  <c:v>527500</c:v>
                </c:pt>
                <c:pt idx="56">
                  <c:v>528000</c:v>
                </c:pt>
                <c:pt idx="57">
                  <c:v>528500</c:v>
                </c:pt>
                <c:pt idx="58">
                  <c:v>529000</c:v>
                </c:pt>
              </c:strCache>
            </c:strRef>
          </c:cat>
          <c:val>
            <c:numRef>
              <c:f>Sheet4!$C$6:$C$65</c:f>
              <c:numCache>
                <c:formatCode>General</c:formatCode>
                <c:ptCount val="59"/>
                <c:pt idx="0">
                  <c:v>637411.34133805055</c:v>
                </c:pt>
                <c:pt idx="1">
                  <c:v>638048.7526793885</c:v>
                </c:pt>
                <c:pt idx="2">
                  <c:v>638686.16402072646</c:v>
                </c:pt>
                <c:pt idx="3">
                  <c:v>639323.57536206453</c:v>
                </c:pt>
                <c:pt idx="4">
                  <c:v>639960.9867034026</c:v>
                </c:pt>
                <c:pt idx="5">
                  <c:v>640598.39804474078</c:v>
                </c:pt>
                <c:pt idx="6">
                  <c:v>641235.80938607873</c:v>
                </c:pt>
                <c:pt idx="7">
                  <c:v>641873.2207274168</c:v>
                </c:pt>
                <c:pt idx="8">
                  <c:v>642510.63206875476</c:v>
                </c:pt>
                <c:pt idx="9">
                  <c:v>643148.04341009283</c:v>
                </c:pt>
                <c:pt idx="10">
                  <c:v>643785.45475143101</c:v>
                </c:pt>
                <c:pt idx="11">
                  <c:v>644422.86609276896</c:v>
                </c:pt>
                <c:pt idx="12">
                  <c:v>645060.27743410703</c:v>
                </c:pt>
                <c:pt idx="13">
                  <c:v>645697.6887754451</c:v>
                </c:pt>
                <c:pt idx="14">
                  <c:v>646335.10011678305</c:v>
                </c:pt>
                <c:pt idx="15">
                  <c:v>646972.51145812124</c:v>
                </c:pt>
                <c:pt idx="16">
                  <c:v>647609.92279945919</c:v>
                </c:pt>
                <c:pt idx="17">
                  <c:v>648247.33414079738</c:v>
                </c:pt>
                <c:pt idx="18">
                  <c:v>648884.74548213533</c:v>
                </c:pt>
                <c:pt idx="19">
                  <c:v>649522.1568234734</c:v>
                </c:pt>
                <c:pt idx="20">
                  <c:v>650159.56816481147</c:v>
                </c:pt>
                <c:pt idx="21">
                  <c:v>650796.97950614954</c:v>
                </c:pt>
                <c:pt idx="22">
                  <c:v>651434.39084748761</c:v>
                </c:pt>
                <c:pt idx="23">
                  <c:v>652071.80218882556</c:v>
                </c:pt>
                <c:pt idx="24">
                  <c:v>652709.21353016363</c:v>
                </c:pt>
                <c:pt idx="25">
                  <c:v>653346.6248715017</c:v>
                </c:pt>
                <c:pt idx="26">
                  <c:v>653984.03621283977</c:v>
                </c:pt>
                <c:pt idx="27">
                  <c:v>654621.44755417784</c:v>
                </c:pt>
                <c:pt idx="28">
                  <c:v>655258.85889551579</c:v>
                </c:pt>
                <c:pt idx="29">
                  <c:v>655896.27023685386</c:v>
                </c:pt>
                <c:pt idx="30">
                  <c:v>656533.68157819193</c:v>
                </c:pt>
                <c:pt idx="31">
                  <c:v>657171.09291953</c:v>
                </c:pt>
                <c:pt idx="32">
                  <c:v>657808.50426086807</c:v>
                </c:pt>
                <c:pt idx="33">
                  <c:v>658445.91560220602</c:v>
                </c:pt>
                <c:pt idx="34">
                  <c:v>659083.32694354421</c:v>
                </c:pt>
                <c:pt idx="35">
                  <c:v>659720.73828488216</c:v>
                </c:pt>
                <c:pt idx="36">
                  <c:v>660358.14962622023</c:v>
                </c:pt>
                <c:pt idx="37">
                  <c:v>660995.5609675583</c:v>
                </c:pt>
                <c:pt idx="38">
                  <c:v>661632.97230889637</c:v>
                </c:pt>
                <c:pt idx="39">
                  <c:v>662270.38365023443</c:v>
                </c:pt>
                <c:pt idx="40">
                  <c:v>662907.79499157239</c:v>
                </c:pt>
                <c:pt idx="41">
                  <c:v>663545.20633291046</c:v>
                </c:pt>
                <c:pt idx="42">
                  <c:v>664182.61767424853</c:v>
                </c:pt>
                <c:pt idx="43">
                  <c:v>664820.0290155866</c:v>
                </c:pt>
                <c:pt idx="44">
                  <c:v>665457.44035692466</c:v>
                </c:pt>
                <c:pt idx="45">
                  <c:v>666094.85169826262</c:v>
                </c:pt>
                <c:pt idx="46">
                  <c:v>666732.2630396008</c:v>
                </c:pt>
                <c:pt idx="47">
                  <c:v>667369.67438093887</c:v>
                </c:pt>
                <c:pt idx="48">
                  <c:v>668007.08572227682</c:v>
                </c:pt>
                <c:pt idx="49">
                  <c:v>668644.49706361489</c:v>
                </c:pt>
                <c:pt idx="50">
                  <c:v>669281.90840495285</c:v>
                </c:pt>
                <c:pt idx="51">
                  <c:v>669919.31974629103</c:v>
                </c:pt>
                <c:pt idx="52">
                  <c:v>670556.7310876291</c:v>
                </c:pt>
                <c:pt idx="53">
                  <c:v>671194.14242896705</c:v>
                </c:pt>
                <c:pt idx="54">
                  <c:v>671831.55377030512</c:v>
                </c:pt>
                <c:pt idx="55">
                  <c:v>672468.96511164319</c:v>
                </c:pt>
                <c:pt idx="56">
                  <c:v>673106.37645298126</c:v>
                </c:pt>
                <c:pt idx="57">
                  <c:v>673743.78779431933</c:v>
                </c:pt>
                <c:pt idx="58">
                  <c:v>674381.1991356574</c:v>
                </c:pt>
              </c:numCache>
            </c:numRef>
          </c:val>
        </c:ser>
        <c:ser>
          <c:idx val="2"/>
          <c:order val="2"/>
          <c:tx>
            <c:strRef>
              <c:f>Sheet4!$D$4:$D$5</c:f>
              <c:strCache>
                <c:ptCount val="1"/>
                <c:pt idx="0">
                  <c:v>Sum of Total Interest</c:v>
                </c:pt>
              </c:strCache>
            </c:strRef>
          </c:tx>
          <c:marker>
            <c:symbol val="none"/>
          </c:marker>
          <c:cat>
            <c:strRef>
              <c:f>Sheet4!$A$6:$A$65</c:f>
              <c:strCache>
                <c:ptCount val="59"/>
                <c:pt idx="0">
                  <c:v>500000</c:v>
                </c:pt>
                <c:pt idx="1">
                  <c:v>500500</c:v>
                </c:pt>
                <c:pt idx="2">
                  <c:v>501000</c:v>
                </c:pt>
                <c:pt idx="3">
                  <c:v>501500</c:v>
                </c:pt>
                <c:pt idx="4">
                  <c:v>502000</c:v>
                </c:pt>
                <c:pt idx="5">
                  <c:v>502500</c:v>
                </c:pt>
                <c:pt idx="6">
                  <c:v>503000</c:v>
                </c:pt>
                <c:pt idx="7">
                  <c:v>503500</c:v>
                </c:pt>
                <c:pt idx="8">
                  <c:v>504000</c:v>
                </c:pt>
                <c:pt idx="9">
                  <c:v>504500</c:v>
                </c:pt>
                <c:pt idx="10">
                  <c:v>505000</c:v>
                </c:pt>
                <c:pt idx="11">
                  <c:v>505500</c:v>
                </c:pt>
                <c:pt idx="12">
                  <c:v>506000</c:v>
                </c:pt>
                <c:pt idx="13">
                  <c:v>506500</c:v>
                </c:pt>
                <c:pt idx="14">
                  <c:v>507000</c:v>
                </c:pt>
                <c:pt idx="15">
                  <c:v>507500</c:v>
                </c:pt>
                <c:pt idx="16">
                  <c:v>508000</c:v>
                </c:pt>
                <c:pt idx="17">
                  <c:v>508500</c:v>
                </c:pt>
                <c:pt idx="18">
                  <c:v>509000</c:v>
                </c:pt>
                <c:pt idx="19">
                  <c:v>509500</c:v>
                </c:pt>
                <c:pt idx="20">
                  <c:v>510000</c:v>
                </c:pt>
                <c:pt idx="21">
                  <c:v>510500</c:v>
                </c:pt>
                <c:pt idx="22">
                  <c:v>511000</c:v>
                </c:pt>
                <c:pt idx="23">
                  <c:v>511500</c:v>
                </c:pt>
                <c:pt idx="24">
                  <c:v>512000</c:v>
                </c:pt>
                <c:pt idx="25">
                  <c:v>512500</c:v>
                </c:pt>
                <c:pt idx="26">
                  <c:v>513000</c:v>
                </c:pt>
                <c:pt idx="27">
                  <c:v>513500</c:v>
                </c:pt>
                <c:pt idx="28">
                  <c:v>514000</c:v>
                </c:pt>
                <c:pt idx="29">
                  <c:v>514500</c:v>
                </c:pt>
                <c:pt idx="30">
                  <c:v>515000</c:v>
                </c:pt>
                <c:pt idx="31">
                  <c:v>515500</c:v>
                </c:pt>
                <c:pt idx="32">
                  <c:v>516000</c:v>
                </c:pt>
                <c:pt idx="33">
                  <c:v>516500</c:v>
                </c:pt>
                <c:pt idx="34">
                  <c:v>517000</c:v>
                </c:pt>
                <c:pt idx="35">
                  <c:v>517500</c:v>
                </c:pt>
                <c:pt idx="36">
                  <c:v>518000</c:v>
                </c:pt>
                <c:pt idx="37">
                  <c:v>518500</c:v>
                </c:pt>
                <c:pt idx="38">
                  <c:v>519000</c:v>
                </c:pt>
                <c:pt idx="39">
                  <c:v>519500</c:v>
                </c:pt>
                <c:pt idx="40">
                  <c:v>520000</c:v>
                </c:pt>
                <c:pt idx="41">
                  <c:v>520500</c:v>
                </c:pt>
                <c:pt idx="42">
                  <c:v>521000</c:v>
                </c:pt>
                <c:pt idx="43">
                  <c:v>521500</c:v>
                </c:pt>
                <c:pt idx="44">
                  <c:v>522000</c:v>
                </c:pt>
                <c:pt idx="45">
                  <c:v>522500</c:v>
                </c:pt>
                <c:pt idx="46">
                  <c:v>523000</c:v>
                </c:pt>
                <c:pt idx="47">
                  <c:v>523500</c:v>
                </c:pt>
                <c:pt idx="48">
                  <c:v>524000</c:v>
                </c:pt>
                <c:pt idx="49">
                  <c:v>524500</c:v>
                </c:pt>
                <c:pt idx="50">
                  <c:v>525000</c:v>
                </c:pt>
                <c:pt idx="51">
                  <c:v>525500</c:v>
                </c:pt>
                <c:pt idx="52">
                  <c:v>526000</c:v>
                </c:pt>
                <c:pt idx="53">
                  <c:v>526500</c:v>
                </c:pt>
                <c:pt idx="54">
                  <c:v>527000</c:v>
                </c:pt>
                <c:pt idx="55">
                  <c:v>527500</c:v>
                </c:pt>
                <c:pt idx="56">
                  <c:v>528000</c:v>
                </c:pt>
                <c:pt idx="57">
                  <c:v>528500</c:v>
                </c:pt>
                <c:pt idx="58">
                  <c:v>529000</c:v>
                </c:pt>
              </c:strCache>
            </c:strRef>
          </c:cat>
          <c:val>
            <c:numRef>
              <c:f>Sheet4!$D$6:$D$65</c:f>
              <c:numCache>
                <c:formatCode>General</c:formatCode>
                <c:ptCount val="59"/>
                <c:pt idx="0">
                  <c:v>137411.34133805055</c:v>
                </c:pt>
                <c:pt idx="1">
                  <c:v>137548.7526793885</c:v>
                </c:pt>
                <c:pt idx="2">
                  <c:v>137686.16402072646</c:v>
                </c:pt>
                <c:pt idx="3">
                  <c:v>137823.57536206453</c:v>
                </c:pt>
                <c:pt idx="4">
                  <c:v>137960.9867034026</c:v>
                </c:pt>
                <c:pt idx="5">
                  <c:v>138098.39804474078</c:v>
                </c:pt>
                <c:pt idx="6">
                  <c:v>138235.80938607873</c:v>
                </c:pt>
                <c:pt idx="7">
                  <c:v>138373.2207274168</c:v>
                </c:pt>
                <c:pt idx="8">
                  <c:v>138510.63206875476</c:v>
                </c:pt>
                <c:pt idx="9">
                  <c:v>138648.04341009283</c:v>
                </c:pt>
                <c:pt idx="10">
                  <c:v>138785.45475143101</c:v>
                </c:pt>
                <c:pt idx="11">
                  <c:v>138922.86609276896</c:v>
                </c:pt>
                <c:pt idx="12">
                  <c:v>139060.27743410703</c:v>
                </c:pt>
                <c:pt idx="13">
                  <c:v>139197.6887754451</c:v>
                </c:pt>
                <c:pt idx="14">
                  <c:v>139335.10011678305</c:v>
                </c:pt>
                <c:pt idx="15">
                  <c:v>139472.51145812124</c:v>
                </c:pt>
                <c:pt idx="16">
                  <c:v>139609.92279945919</c:v>
                </c:pt>
                <c:pt idx="17">
                  <c:v>139747.33414079738</c:v>
                </c:pt>
                <c:pt idx="18">
                  <c:v>139884.74548213533</c:v>
                </c:pt>
                <c:pt idx="19">
                  <c:v>140022.1568234734</c:v>
                </c:pt>
                <c:pt idx="20">
                  <c:v>140159.56816481147</c:v>
                </c:pt>
                <c:pt idx="21">
                  <c:v>140296.97950614954</c:v>
                </c:pt>
                <c:pt idx="22">
                  <c:v>140434.39084748761</c:v>
                </c:pt>
                <c:pt idx="23">
                  <c:v>140571.80218882556</c:v>
                </c:pt>
                <c:pt idx="24">
                  <c:v>140709.21353016363</c:v>
                </c:pt>
                <c:pt idx="25">
                  <c:v>140846.6248715017</c:v>
                </c:pt>
                <c:pt idx="26">
                  <c:v>140984.03621283977</c:v>
                </c:pt>
                <c:pt idx="27">
                  <c:v>141121.44755417784</c:v>
                </c:pt>
                <c:pt idx="28">
                  <c:v>141258.85889551579</c:v>
                </c:pt>
                <c:pt idx="29">
                  <c:v>141396.27023685386</c:v>
                </c:pt>
                <c:pt idx="30">
                  <c:v>141533.68157819193</c:v>
                </c:pt>
                <c:pt idx="31">
                  <c:v>141671.09291953</c:v>
                </c:pt>
                <c:pt idx="32">
                  <c:v>141808.50426086807</c:v>
                </c:pt>
                <c:pt idx="33">
                  <c:v>141945.91560220602</c:v>
                </c:pt>
                <c:pt idx="34">
                  <c:v>142083.32694354421</c:v>
                </c:pt>
                <c:pt idx="35">
                  <c:v>142220.73828488216</c:v>
                </c:pt>
                <c:pt idx="36">
                  <c:v>142358.14962622023</c:v>
                </c:pt>
                <c:pt idx="37">
                  <c:v>142495.5609675583</c:v>
                </c:pt>
                <c:pt idx="38">
                  <c:v>142632.97230889637</c:v>
                </c:pt>
                <c:pt idx="39">
                  <c:v>142770.38365023443</c:v>
                </c:pt>
                <c:pt idx="40">
                  <c:v>142907.79499157239</c:v>
                </c:pt>
                <c:pt idx="41">
                  <c:v>143045.20633291046</c:v>
                </c:pt>
                <c:pt idx="42">
                  <c:v>143182.61767424853</c:v>
                </c:pt>
                <c:pt idx="43">
                  <c:v>143320.0290155866</c:v>
                </c:pt>
                <c:pt idx="44">
                  <c:v>143457.44035692466</c:v>
                </c:pt>
                <c:pt idx="45">
                  <c:v>143594.85169826262</c:v>
                </c:pt>
                <c:pt idx="46">
                  <c:v>143732.2630396008</c:v>
                </c:pt>
                <c:pt idx="47">
                  <c:v>143869.67438093887</c:v>
                </c:pt>
                <c:pt idx="48">
                  <c:v>144007.08572227682</c:v>
                </c:pt>
                <c:pt idx="49">
                  <c:v>144144.49706361489</c:v>
                </c:pt>
                <c:pt idx="50">
                  <c:v>144281.90840495285</c:v>
                </c:pt>
                <c:pt idx="51">
                  <c:v>144419.31974629103</c:v>
                </c:pt>
                <c:pt idx="52">
                  <c:v>144556.7310876291</c:v>
                </c:pt>
                <c:pt idx="53">
                  <c:v>144694.14242896705</c:v>
                </c:pt>
                <c:pt idx="54">
                  <c:v>144831.55377030512</c:v>
                </c:pt>
                <c:pt idx="55">
                  <c:v>144968.96511164319</c:v>
                </c:pt>
                <c:pt idx="56">
                  <c:v>145106.37645298126</c:v>
                </c:pt>
                <c:pt idx="57">
                  <c:v>145243.78779431933</c:v>
                </c:pt>
                <c:pt idx="58">
                  <c:v>145381.1991356574</c:v>
                </c:pt>
              </c:numCache>
            </c:numRef>
          </c:val>
        </c:ser>
        <c:marker val="1"/>
        <c:axId val="203166080"/>
        <c:axId val="203494144"/>
      </c:lineChart>
      <c:catAx>
        <c:axId val="203166080"/>
        <c:scaling>
          <c:orientation val="minMax"/>
        </c:scaling>
        <c:axPos val="b"/>
        <c:tickLblPos val="nextTo"/>
        <c:crossAx val="203494144"/>
        <c:crosses val="autoZero"/>
        <c:auto val="1"/>
        <c:lblAlgn val="ctr"/>
        <c:lblOffset val="100"/>
      </c:catAx>
      <c:valAx>
        <c:axId val="203494144"/>
        <c:scaling>
          <c:orientation val="minMax"/>
        </c:scaling>
        <c:axPos val="l"/>
        <c:majorGridlines/>
        <c:numFmt formatCode="General" sourceLinked="1"/>
        <c:tickLblPos val="nextTo"/>
        <c:crossAx val="2031660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doughnutChart>
        <c:varyColors val="1"/>
        <c:ser>
          <c:idx val="0"/>
          <c:order val="0"/>
          <c:tx>
            <c:strRef>
              <c:f>Sheet4!$K$35</c:f>
              <c:strCache>
                <c:ptCount val="1"/>
                <c:pt idx="0">
                  <c:v>Amount</c:v>
                </c:pt>
              </c:strCache>
            </c:strRef>
          </c:tx>
          <c:cat>
            <c:strRef>
              <c:f>Sheet4!$J$36:$J$37</c:f>
              <c:strCache>
                <c:ptCount val="2"/>
                <c:pt idx="0">
                  <c:v>Principal</c:v>
                </c:pt>
                <c:pt idx="1">
                  <c:v>Interest</c:v>
                </c:pt>
              </c:strCache>
            </c:strRef>
          </c:cat>
          <c:val>
            <c:numRef>
              <c:f>Sheet4!$K$36:$K$37</c:f>
              <c:numCache>
                <c:formatCode>General</c:formatCode>
                <c:ptCount val="2"/>
                <c:pt idx="0">
                  <c:v>500000</c:v>
                </c:pt>
                <c:pt idx="1">
                  <c:v>137411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742950</xdr:colOff>
      <xdr:row>3</xdr:row>
      <xdr:rowOff>66675</xdr:rowOff>
    </xdr:from>
    <xdr:to>
      <xdr:col>8</xdr:col>
      <xdr:colOff>95250</xdr:colOff>
      <xdr:row>14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752474</xdr:colOff>
      <xdr:row>17</xdr:row>
      <xdr:rowOff>123826</xdr:rowOff>
    </xdr:from>
    <xdr:to>
      <xdr:col>8</xdr:col>
      <xdr:colOff>133349</xdr:colOff>
      <xdr:row>28</xdr:row>
      <xdr:rowOff>180976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761999</xdr:colOff>
      <xdr:row>31</xdr:row>
      <xdr:rowOff>133350</xdr:rowOff>
    </xdr:from>
    <xdr:to>
      <xdr:col>8</xdr:col>
      <xdr:colOff>266700</xdr:colOff>
      <xdr:row>43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8</xdr:row>
      <xdr:rowOff>76200</xdr:rowOff>
    </xdr:from>
    <xdr:to>
      <xdr:col>5</xdr:col>
      <xdr:colOff>1466850</xdr:colOff>
      <xdr:row>19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352425</xdr:colOff>
      <xdr:row>22</xdr:row>
      <xdr:rowOff>66675</xdr:rowOff>
    </xdr:from>
    <xdr:to>
      <xdr:col>5</xdr:col>
      <xdr:colOff>1495425</xdr:colOff>
      <xdr:row>33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352425</xdr:colOff>
      <xdr:row>35</xdr:row>
      <xdr:rowOff>152400</xdr:rowOff>
    </xdr:from>
    <xdr:to>
      <xdr:col>5</xdr:col>
      <xdr:colOff>1619251</xdr:colOff>
      <xdr:row>47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66.77313090278" createdVersion="3" refreshedVersion="3" minRefreshableVersion="3" recordCount="59">
  <cacheSource type="worksheet">
    <worksheetSource ref="A1:N60" sheet="Sheet1"/>
  </cacheSource>
  <cacheFields count="14">
    <cacheField name="Loan Amount" numFmtId="0">
      <sharedItems containsSemiMixedTypes="0" containsString="0" containsNumber="1" containsInteger="1" minValue="500000" maxValue="529000" count="59">
        <n v="500000"/>
        <n v="500500"/>
        <n v="501000"/>
        <n v="501500"/>
        <n v="502000"/>
        <n v="502500"/>
        <n v="503000"/>
        <n v="503500"/>
        <n v="504000"/>
        <n v="504500"/>
        <n v="505000"/>
        <n v="505500"/>
        <n v="506000"/>
        <n v="506500"/>
        <n v="507000"/>
        <n v="507500"/>
        <n v="508000"/>
        <n v="508500"/>
        <n v="509000"/>
        <n v="509500"/>
        <n v="510000"/>
        <n v="510500"/>
        <n v="511000"/>
        <n v="511500"/>
        <n v="512000"/>
        <n v="512500"/>
        <n v="513000"/>
        <n v="513500"/>
        <n v="514000"/>
        <n v="514500"/>
        <n v="515000"/>
        <n v="515500"/>
        <n v="516000"/>
        <n v="516500"/>
        <n v="517000"/>
        <n v="517500"/>
        <n v="518000"/>
        <n v="518500"/>
        <n v="519000"/>
        <n v="519500"/>
        <n v="520000"/>
        <n v="520500"/>
        <n v="521000"/>
        <n v="521500"/>
        <n v="522000"/>
        <n v="522500"/>
        <n v="523000"/>
        <n v="523500"/>
        <n v="524000"/>
        <n v="524500"/>
        <n v="525000"/>
        <n v="525500"/>
        <n v="526000"/>
        <n v="526500"/>
        <n v="527000"/>
        <n v="527500"/>
        <n v="528000"/>
        <n v="528500"/>
        <n v="529000"/>
      </sharedItems>
    </cacheField>
    <cacheField name="Interest Rate (%)" numFmtId="0">
      <sharedItems containsSemiMixedTypes="0" containsString="0" containsNumber="1" containsInteger="1" minValue="10" maxValue="10" count="1">
        <n v="10"/>
      </sharedItems>
    </cacheField>
    <cacheField name="Tenure (Years)" numFmtId="0">
      <sharedItems containsSemiMixedTypes="0" containsString="0" containsNumber="1" containsInteger="1" minValue="5" maxValue="5" count="1">
        <n v="5"/>
      </sharedItems>
    </cacheField>
    <cacheField name="Monthly Interest Rate" numFmtId="0">
      <sharedItems containsSemiMixedTypes="0" containsString="0" containsNumber="1" minValue="8.3333333333333332E-3" maxValue="8.3333333333333332E-3" count="1">
        <n v="8.3333333333333332E-3"/>
      </sharedItems>
    </cacheField>
    <cacheField name="Total Months" numFmtId="0">
      <sharedItems containsSemiMixedTypes="0" containsString="0" containsNumber="1" containsInteger="1" minValue="60" maxValue="60" count="1">
        <n v="60"/>
      </sharedItems>
    </cacheField>
    <cacheField name="EMI Formula" numFmtId="8">
      <sharedItems containsSemiMixedTypes="0" containsString="0" containsNumber="1" minValue="10623.522355634175" maxValue="11239.686652260956" count="59">
        <n v="10623.522355634175"/>
        <n v="10634.145877989808"/>
        <n v="10644.769400345442"/>
        <n v="10655.392922701076"/>
        <n v="10666.01644505671"/>
        <n v="10676.639967412346"/>
        <n v="10687.263489767978"/>
        <n v="10697.887012123614"/>
        <n v="10708.510534479246"/>
        <n v="10719.134056834881"/>
        <n v="10729.757579190516"/>
        <n v="10740.381101546149"/>
        <n v="10751.004623901785"/>
        <n v="10761.628146257419"/>
        <n v="10772.251668613051"/>
        <n v="10782.875190968687"/>
        <n v="10793.498713324319"/>
        <n v="10804.122235679955"/>
        <n v="10814.745758035589"/>
        <n v="10825.369280391224"/>
        <n v="10835.992802746858"/>
        <n v="10846.616325102492"/>
        <n v="10857.239847458126"/>
        <n v="10867.86336981376"/>
        <n v="10878.486892169394"/>
        <n v="10889.110414525028"/>
        <n v="10899.733936880662"/>
        <n v="10910.357459236297"/>
        <n v="10920.980981591931"/>
        <n v="10931.604503947565"/>
        <n v="10942.228026303199"/>
        <n v="10952.851548658833"/>
        <n v="10963.475071014467"/>
        <n v="10974.098593370101"/>
        <n v="10984.722115725737"/>
        <n v="10995.34563808137"/>
        <n v="11005.969160437004"/>
        <n v="11016.592682792638"/>
        <n v="11027.216205148272"/>
        <n v="11037.839727503908"/>
        <n v="11048.46324985954"/>
        <n v="11059.086772215174"/>
        <n v="11069.710294570808"/>
        <n v="11080.333816926443"/>
        <n v="11090.957339282078"/>
        <n v="11101.580861637711"/>
        <n v="11112.204383993347"/>
        <n v="11122.827906348981"/>
        <n v="11133.451428704613"/>
        <n v="11144.074951060249"/>
        <n v="11154.698473415881"/>
        <n v="11165.321995771517"/>
        <n v="11175.945518127151"/>
        <n v="11186.569040482784"/>
        <n v="11197.19256283842"/>
        <n v="11207.816085194054"/>
        <n v="11218.439607549688"/>
        <n v="11229.063129905322"/>
        <n v="11239.686652260956"/>
      </sharedItems>
    </cacheField>
    <cacheField name="Total Payment" numFmtId="2">
      <sharedItems containsSemiMixedTypes="0" containsString="0" containsNumber="1" minValue="637411.34133805055" maxValue="674381.1991356574" count="59">
        <n v="637411.34133805055"/>
        <n v="638048.7526793885"/>
        <n v="638686.16402072646"/>
        <n v="639323.57536206453"/>
        <n v="639960.9867034026"/>
        <n v="640598.39804474078"/>
        <n v="641235.80938607873"/>
        <n v="641873.2207274168"/>
        <n v="642510.63206875476"/>
        <n v="643148.04341009283"/>
        <n v="643785.45475143101"/>
        <n v="644422.86609276896"/>
        <n v="645060.27743410703"/>
        <n v="645697.6887754451"/>
        <n v="646335.10011678305"/>
        <n v="646972.51145812124"/>
        <n v="647609.92279945919"/>
        <n v="648247.33414079738"/>
        <n v="648884.74548213533"/>
        <n v="649522.1568234734"/>
        <n v="650159.56816481147"/>
        <n v="650796.97950614954"/>
        <n v="651434.39084748761"/>
        <n v="652071.80218882556"/>
        <n v="652709.21353016363"/>
        <n v="653346.6248715017"/>
        <n v="653984.03621283977"/>
        <n v="654621.44755417784"/>
        <n v="655258.85889551579"/>
        <n v="655896.27023685386"/>
        <n v="656533.68157819193"/>
        <n v="657171.09291953"/>
        <n v="657808.50426086807"/>
        <n v="658445.91560220602"/>
        <n v="659083.32694354421"/>
        <n v="659720.73828488216"/>
        <n v="660358.14962622023"/>
        <n v="660995.5609675583"/>
        <n v="661632.97230889637"/>
        <n v="662270.38365023443"/>
        <n v="662907.79499157239"/>
        <n v="663545.20633291046"/>
        <n v="664182.61767424853"/>
        <n v="664820.0290155866"/>
        <n v="665457.44035692466"/>
        <n v="666094.85169826262"/>
        <n v="666732.2630396008"/>
        <n v="667369.67438093887"/>
        <n v="668007.08572227682"/>
        <n v="668644.49706361489"/>
        <n v="669281.90840495285"/>
        <n v="669919.31974629103"/>
        <n v="670556.7310876291"/>
        <n v="671194.14242896705"/>
        <n v="671831.55377030512"/>
        <n v="672468.96511164319"/>
        <n v="673106.37645298126"/>
        <n v="673743.78779431933"/>
        <n v="674381.1991356574"/>
      </sharedItems>
    </cacheField>
    <cacheField name="Total Interest" numFmtId="2">
      <sharedItems containsSemiMixedTypes="0" containsString="0" containsNumber="1" minValue="137411.34133805055" maxValue="145381.1991356574" count="59">
        <n v="137411.34133805055"/>
        <n v="137548.7526793885"/>
        <n v="137686.16402072646"/>
        <n v="137823.57536206453"/>
        <n v="137960.9867034026"/>
        <n v="138098.39804474078"/>
        <n v="138235.80938607873"/>
        <n v="138373.2207274168"/>
        <n v="138510.63206875476"/>
        <n v="138648.04341009283"/>
        <n v="138785.45475143101"/>
        <n v="138922.86609276896"/>
        <n v="139060.27743410703"/>
        <n v="139197.6887754451"/>
        <n v="139335.10011678305"/>
        <n v="139472.51145812124"/>
        <n v="139609.92279945919"/>
        <n v="139747.33414079738"/>
        <n v="139884.74548213533"/>
        <n v="140022.1568234734"/>
        <n v="140159.56816481147"/>
        <n v="140296.97950614954"/>
        <n v="140434.39084748761"/>
        <n v="140571.80218882556"/>
        <n v="140709.21353016363"/>
        <n v="140846.6248715017"/>
        <n v="140984.03621283977"/>
        <n v="141121.44755417784"/>
        <n v="141258.85889551579"/>
        <n v="141396.27023685386"/>
        <n v="141533.68157819193"/>
        <n v="141671.09291953"/>
        <n v="141808.50426086807"/>
        <n v="141945.91560220602"/>
        <n v="142083.32694354421"/>
        <n v="142220.73828488216"/>
        <n v="142358.14962622023"/>
        <n v="142495.5609675583"/>
        <n v="142632.97230889637"/>
        <n v="142770.38365023443"/>
        <n v="142907.79499157239"/>
        <n v="143045.20633291046"/>
        <n v="143182.61767424853"/>
        <n v="143320.0290155866"/>
        <n v="143457.44035692466"/>
        <n v="143594.85169826262"/>
        <n v="143732.2630396008"/>
        <n v="143869.67438093887"/>
        <n v="144007.08572227682"/>
        <n v="144144.49706361489"/>
        <n v="144281.90840495285"/>
        <n v="144419.31974629103"/>
        <n v="144556.7310876291"/>
        <n v="144694.14242896705"/>
        <n v="144831.55377030512"/>
        <n v="144968.96511164319"/>
        <n v="145106.37645298126"/>
        <n v="145243.78779431933"/>
        <n v="145381.1991356574"/>
      </sharedItems>
    </cacheField>
    <cacheField name="Balnce" numFmtId="0">
      <sharedItems containsSemiMixedTypes="0" containsString="0" containsNumber="1" containsInteger="1" minValue="500000" maxValue="529000" count="59">
        <n v="500000"/>
        <n v="500500"/>
        <n v="501000"/>
        <n v="501500"/>
        <n v="502000"/>
        <n v="502500"/>
        <n v="503000"/>
        <n v="503500"/>
        <n v="504000"/>
        <n v="504500"/>
        <n v="505000"/>
        <n v="505500"/>
        <n v="506000"/>
        <n v="506500"/>
        <n v="507000"/>
        <n v="507500"/>
        <n v="508000"/>
        <n v="508500"/>
        <n v="509000"/>
        <n v="509500"/>
        <n v="510000"/>
        <n v="510500"/>
        <n v="511000"/>
        <n v="511500"/>
        <n v="512000"/>
        <n v="512500"/>
        <n v="513000"/>
        <n v="513500"/>
        <n v="514000"/>
        <n v="514500"/>
        <n v="515000"/>
        <n v="515500"/>
        <n v="516000"/>
        <n v="516500"/>
        <n v="517000"/>
        <n v="517500"/>
        <n v="518000"/>
        <n v="518500"/>
        <n v="519000"/>
        <n v="519500"/>
        <n v="520000"/>
        <n v="520500"/>
        <n v="521000"/>
        <n v="521500"/>
        <n v="522000"/>
        <n v="522500"/>
        <n v="523000"/>
        <n v="523500"/>
        <n v="524000"/>
        <n v="524500"/>
        <n v="525000"/>
        <n v="525500"/>
        <n v="526000"/>
        <n v="526500"/>
        <n v="527000"/>
        <n v="527500"/>
        <n v="528000"/>
        <n v="528500"/>
        <n v="529000"/>
      </sharedItems>
    </cacheField>
    <cacheField name="Month" numFmtId="0">
      <sharedItems containsSemiMixedTypes="0" containsString="0" containsNumber="1" containsInteger="1" minValue="1" maxValue="59" count="5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</sharedItems>
    </cacheField>
    <cacheField name="EMI" numFmtId="8">
      <sharedItems containsSemiMixedTypes="0" containsString="0" containsNumber="1" minValue="10623.522355634175" maxValue="11239.686652260956" count="59">
        <n v="10623.522355634175"/>
        <n v="10634.145877989808"/>
        <n v="10644.769400345442"/>
        <n v="10655.392922701076"/>
        <n v="10666.01644505671"/>
        <n v="10676.639967412346"/>
        <n v="10687.263489767978"/>
        <n v="10697.887012123614"/>
        <n v="10708.510534479246"/>
        <n v="10719.134056834881"/>
        <n v="10729.757579190516"/>
        <n v="10740.381101546149"/>
        <n v="10751.004623901785"/>
        <n v="10761.628146257419"/>
        <n v="10772.251668613051"/>
        <n v="10782.875190968687"/>
        <n v="10793.498713324319"/>
        <n v="10804.122235679955"/>
        <n v="10814.745758035589"/>
        <n v="10825.369280391224"/>
        <n v="10835.992802746858"/>
        <n v="10846.616325102492"/>
        <n v="10857.239847458126"/>
        <n v="10867.86336981376"/>
        <n v="10878.486892169394"/>
        <n v="10889.110414525028"/>
        <n v="10899.733936880662"/>
        <n v="10910.357459236297"/>
        <n v="10920.980981591931"/>
        <n v="10931.604503947565"/>
        <n v="10942.228026303199"/>
        <n v="10952.851548658833"/>
        <n v="10963.475071014467"/>
        <n v="10974.098593370101"/>
        <n v="10984.722115725737"/>
        <n v="10995.34563808137"/>
        <n v="11005.969160437004"/>
        <n v="11016.592682792638"/>
        <n v="11027.216205148272"/>
        <n v="11037.839727503908"/>
        <n v="11048.46324985954"/>
        <n v="11059.086772215174"/>
        <n v="11069.710294570808"/>
        <n v="11080.333816926443"/>
        <n v="11090.957339282078"/>
        <n v="11101.580861637711"/>
        <n v="11112.204383993347"/>
        <n v="11122.827906348981"/>
        <n v="11133.451428704613"/>
        <n v="11144.074951060249"/>
        <n v="11154.698473415881"/>
        <n v="11165.321995771517"/>
        <n v="11175.945518127151"/>
        <n v="11186.569040482784"/>
        <n v="11197.19256283842"/>
        <n v="11207.816085194054"/>
        <n v="11218.439607549688"/>
        <n v="11229.063129905322"/>
        <n v="11239.686652260956"/>
      </sharedItems>
    </cacheField>
    <cacheField name="Interest" numFmtId="0">
      <sharedItems containsSemiMixedTypes="0" containsString="0" containsNumber="1" minValue="4166.666666666667" maxValue="4408.333333333333" count="59">
        <n v="4166.666666666667"/>
        <n v="4170.833333333333"/>
        <n v="4175"/>
        <n v="4179.166666666667"/>
        <n v="4183.333333333333"/>
        <n v="4187.5"/>
        <n v="4191.666666666667"/>
        <n v="4195.833333333333"/>
        <n v="4200"/>
        <n v="4204.166666666667"/>
        <n v="4208.333333333333"/>
        <n v="4212.5"/>
        <n v="4216.666666666667"/>
        <n v="4220.833333333333"/>
        <n v="4225"/>
        <n v="4229.166666666667"/>
        <n v="4233.333333333333"/>
        <n v="4237.5"/>
        <n v="4241.666666666667"/>
        <n v="4245.833333333333"/>
        <n v="4250"/>
        <n v="4254.166666666667"/>
        <n v="4258.333333333333"/>
        <n v="4262.5"/>
        <n v="4266.666666666667"/>
        <n v="4270.833333333333"/>
        <n v="4275"/>
        <n v="4279.166666666667"/>
        <n v="4283.333333333333"/>
        <n v="4287.5"/>
        <n v="4291.666666666667"/>
        <n v="4295.833333333333"/>
        <n v="4300"/>
        <n v="4304.166666666667"/>
        <n v="4308.333333333333"/>
        <n v="4312.5"/>
        <n v="4316.666666666667"/>
        <n v="4320.833333333333"/>
        <n v="4325"/>
        <n v="4329.166666666667"/>
        <n v="4333.333333333333"/>
        <n v="4337.5"/>
        <n v="4341.666666666667"/>
        <n v="4345.833333333333"/>
        <n v="4350"/>
        <n v="4354.166666666667"/>
        <n v="4358.333333333333"/>
        <n v="4362.5"/>
        <n v="4366.666666666667"/>
        <n v="4370.833333333333"/>
        <n v="4375"/>
        <n v="4379.166666666667"/>
        <n v="4383.333333333333"/>
        <n v="4387.5"/>
        <n v="4391.666666666667"/>
        <n v="4395.833333333333"/>
        <n v="4400"/>
        <n v="4404.166666666667"/>
        <n v="4408.333333333333"/>
      </sharedItems>
    </cacheField>
    <cacheField name="Principal" numFmtId="8">
      <sharedItems containsSemiMixedTypes="0" containsString="0" containsNumber="1" minValue="6456.8556889675083" maxValue="6831.3533189276231" count="59">
        <n v="6456.8556889675083"/>
        <n v="6463.3125446564745"/>
        <n v="6469.7694003454417"/>
        <n v="6476.2262560344088"/>
        <n v="6482.6831117233769"/>
        <n v="6489.1399674123459"/>
        <n v="6495.5968231013112"/>
        <n v="6502.0536787902811"/>
        <n v="6508.5105344792464"/>
        <n v="6514.9673901682136"/>
        <n v="6521.4242458571835"/>
        <n v="6527.8811015461488"/>
        <n v="6534.3379572351178"/>
        <n v="6540.7948129240858"/>
        <n v="6547.2516686130512"/>
        <n v="6553.7085243020201"/>
        <n v="6560.1653799909864"/>
        <n v="6566.6222356799553"/>
        <n v="6573.0790913689225"/>
        <n v="6579.5359470578906"/>
        <n v="6585.9928027468577"/>
        <n v="6592.4496584358249"/>
        <n v="6598.9065141247929"/>
        <n v="6605.3633698137601"/>
        <n v="6611.8202255027272"/>
        <n v="6618.2770811916953"/>
        <n v="6624.7339368806624"/>
        <n v="6631.1907925696296"/>
        <n v="6637.6476482585977"/>
        <n v="6644.1045039475648"/>
        <n v="6650.561359636532"/>
        <n v="6657.0182153255"/>
        <n v="6663.4750710144672"/>
        <n v="6669.9319267034343"/>
        <n v="6676.3887823924042"/>
        <n v="6682.8456380813695"/>
        <n v="6689.3024937703367"/>
        <n v="6695.7593494593048"/>
        <n v="6702.2162051482719"/>
        <n v="6708.6730608372409"/>
        <n v="6715.1299165262071"/>
        <n v="6721.5867722151743"/>
        <n v="6728.0436279041414"/>
        <n v="6734.5004835931095"/>
        <n v="6740.9573392820785"/>
        <n v="6747.4141949710438"/>
        <n v="6753.8710506600137"/>
        <n v="6760.3279063489808"/>
        <n v="6766.7847620379462"/>
        <n v="6773.241617726916"/>
        <n v="6779.6984734158814"/>
        <n v="6786.1553291048504"/>
        <n v="6792.6121847938184"/>
        <n v="6799.0690404827837"/>
        <n v="6805.5258961717527"/>
        <n v="6811.9827518607208"/>
        <n v="6818.4396075496879"/>
        <n v="6824.8964632386551"/>
        <n v="6831.3533189276231"/>
      </sharedItems>
    </cacheField>
    <cacheField name="Closing Balance" numFmtId="8">
      <sharedItems containsSemiMixedTypes="0" containsString="0" containsNumber="1" minValue="493543.14431103249" maxValue="522168.64668107237" count="59">
        <n v="493543.14431103249"/>
        <n v="494036.68745534355"/>
        <n v="494530.23059965455"/>
        <n v="495023.7737439656"/>
        <n v="495517.3168882766"/>
        <n v="496010.86003258766"/>
        <n v="496504.40317689866"/>
        <n v="496997.94632120972"/>
        <n v="497491.48946552078"/>
        <n v="497985.03260983177"/>
        <n v="498478.57575414283"/>
        <n v="498972.11889845383"/>
        <n v="499465.66204276489"/>
        <n v="499959.20518707589"/>
        <n v="500452.74833138695"/>
        <n v="500946.291475698"/>
        <n v="501439.834620009"/>
        <n v="501933.37776432006"/>
        <n v="502426.92090863106"/>
        <n v="502920.46405294212"/>
        <n v="503414.00719725312"/>
        <n v="503907.55034156417"/>
        <n v="504401.09348587523"/>
        <n v="504894.63663018623"/>
        <n v="505388.17977449729"/>
        <n v="505881.72291880829"/>
        <n v="506375.26606311934"/>
        <n v="506868.80920743034"/>
        <n v="507362.3523517414"/>
        <n v="507855.89549605246"/>
        <n v="508349.43864036346"/>
        <n v="508842.98178467451"/>
        <n v="509336.52492898551"/>
        <n v="509830.06807329657"/>
        <n v="510323.61121760757"/>
        <n v="510817.15436191863"/>
        <n v="511310.69750622968"/>
        <n v="511804.24065054068"/>
        <n v="512297.78379485174"/>
        <n v="512791.32693916274"/>
        <n v="513284.8700834738"/>
        <n v="513778.4132277848"/>
        <n v="514271.95637209585"/>
        <n v="514765.49951640691"/>
        <n v="515259.04266071791"/>
        <n v="515752.58580502897"/>
        <n v="516246.12894933997"/>
        <n v="516739.67209365102"/>
        <n v="517233.21523796208"/>
        <n v="517726.75838227308"/>
        <n v="518220.30152658414"/>
        <n v="518713.84467089514"/>
        <n v="519207.3878152062"/>
        <n v="519700.93095951719"/>
        <n v="520194.47410382825"/>
        <n v="520688.01724813925"/>
        <n v="521181.56039245031"/>
        <n v="521675.10353676137"/>
        <n v="522168.6466810723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">
  <r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1"/>
    <x v="1"/>
    <x v="1"/>
    <x v="1"/>
    <x v="1"/>
    <x v="1"/>
    <x v="1"/>
    <x v="1"/>
    <x v="1"/>
  </r>
  <r>
    <x v="2"/>
    <x v="0"/>
    <x v="0"/>
    <x v="0"/>
    <x v="0"/>
    <x v="2"/>
    <x v="2"/>
    <x v="2"/>
    <x v="2"/>
    <x v="2"/>
    <x v="2"/>
    <x v="2"/>
    <x v="2"/>
    <x v="2"/>
  </r>
  <r>
    <x v="3"/>
    <x v="0"/>
    <x v="0"/>
    <x v="0"/>
    <x v="0"/>
    <x v="3"/>
    <x v="3"/>
    <x v="3"/>
    <x v="3"/>
    <x v="3"/>
    <x v="3"/>
    <x v="3"/>
    <x v="3"/>
    <x v="3"/>
  </r>
  <r>
    <x v="4"/>
    <x v="0"/>
    <x v="0"/>
    <x v="0"/>
    <x v="0"/>
    <x v="4"/>
    <x v="4"/>
    <x v="4"/>
    <x v="4"/>
    <x v="4"/>
    <x v="4"/>
    <x v="4"/>
    <x v="4"/>
    <x v="4"/>
  </r>
  <r>
    <x v="5"/>
    <x v="0"/>
    <x v="0"/>
    <x v="0"/>
    <x v="0"/>
    <x v="5"/>
    <x v="5"/>
    <x v="5"/>
    <x v="5"/>
    <x v="5"/>
    <x v="5"/>
    <x v="5"/>
    <x v="5"/>
    <x v="5"/>
  </r>
  <r>
    <x v="6"/>
    <x v="0"/>
    <x v="0"/>
    <x v="0"/>
    <x v="0"/>
    <x v="6"/>
    <x v="6"/>
    <x v="6"/>
    <x v="6"/>
    <x v="6"/>
    <x v="6"/>
    <x v="6"/>
    <x v="6"/>
    <x v="6"/>
  </r>
  <r>
    <x v="7"/>
    <x v="0"/>
    <x v="0"/>
    <x v="0"/>
    <x v="0"/>
    <x v="7"/>
    <x v="7"/>
    <x v="7"/>
    <x v="7"/>
    <x v="7"/>
    <x v="7"/>
    <x v="7"/>
    <x v="7"/>
    <x v="7"/>
  </r>
  <r>
    <x v="8"/>
    <x v="0"/>
    <x v="0"/>
    <x v="0"/>
    <x v="0"/>
    <x v="8"/>
    <x v="8"/>
    <x v="8"/>
    <x v="8"/>
    <x v="8"/>
    <x v="8"/>
    <x v="8"/>
    <x v="8"/>
    <x v="8"/>
  </r>
  <r>
    <x v="9"/>
    <x v="0"/>
    <x v="0"/>
    <x v="0"/>
    <x v="0"/>
    <x v="9"/>
    <x v="9"/>
    <x v="9"/>
    <x v="9"/>
    <x v="9"/>
    <x v="9"/>
    <x v="9"/>
    <x v="9"/>
    <x v="9"/>
  </r>
  <r>
    <x v="10"/>
    <x v="0"/>
    <x v="0"/>
    <x v="0"/>
    <x v="0"/>
    <x v="10"/>
    <x v="10"/>
    <x v="10"/>
    <x v="10"/>
    <x v="10"/>
    <x v="10"/>
    <x v="10"/>
    <x v="10"/>
    <x v="10"/>
  </r>
  <r>
    <x v="11"/>
    <x v="0"/>
    <x v="0"/>
    <x v="0"/>
    <x v="0"/>
    <x v="11"/>
    <x v="11"/>
    <x v="11"/>
    <x v="11"/>
    <x v="11"/>
    <x v="11"/>
    <x v="11"/>
    <x v="11"/>
    <x v="11"/>
  </r>
  <r>
    <x v="12"/>
    <x v="0"/>
    <x v="0"/>
    <x v="0"/>
    <x v="0"/>
    <x v="12"/>
    <x v="12"/>
    <x v="12"/>
    <x v="12"/>
    <x v="12"/>
    <x v="12"/>
    <x v="12"/>
    <x v="12"/>
    <x v="12"/>
  </r>
  <r>
    <x v="13"/>
    <x v="0"/>
    <x v="0"/>
    <x v="0"/>
    <x v="0"/>
    <x v="13"/>
    <x v="13"/>
    <x v="13"/>
    <x v="13"/>
    <x v="13"/>
    <x v="13"/>
    <x v="13"/>
    <x v="13"/>
    <x v="13"/>
  </r>
  <r>
    <x v="14"/>
    <x v="0"/>
    <x v="0"/>
    <x v="0"/>
    <x v="0"/>
    <x v="14"/>
    <x v="14"/>
    <x v="14"/>
    <x v="14"/>
    <x v="14"/>
    <x v="14"/>
    <x v="14"/>
    <x v="14"/>
    <x v="14"/>
  </r>
  <r>
    <x v="15"/>
    <x v="0"/>
    <x v="0"/>
    <x v="0"/>
    <x v="0"/>
    <x v="15"/>
    <x v="15"/>
    <x v="15"/>
    <x v="15"/>
    <x v="15"/>
    <x v="15"/>
    <x v="15"/>
    <x v="15"/>
    <x v="15"/>
  </r>
  <r>
    <x v="16"/>
    <x v="0"/>
    <x v="0"/>
    <x v="0"/>
    <x v="0"/>
    <x v="16"/>
    <x v="16"/>
    <x v="16"/>
    <x v="16"/>
    <x v="16"/>
    <x v="16"/>
    <x v="16"/>
    <x v="16"/>
    <x v="16"/>
  </r>
  <r>
    <x v="17"/>
    <x v="0"/>
    <x v="0"/>
    <x v="0"/>
    <x v="0"/>
    <x v="17"/>
    <x v="17"/>
    <x v="17"/>
    <x v="17"/>
    <x v="17"/>
    <x v="17"/>
    <x v="17"/>
    <x v="17"/>
    <x v="17"/>
  </r>
  <r>
    <x v="18"/>
    <x v="0"/>
    <x v="0"/>
    <x v="0"/>
    <x v="0"/>
    <x v="18"/>
    <x v="18"/>
    <x v="18"/>
    <x v="18"/>
    <x v="18"/>
    <x v="18"/>
    <x v="18"/>
    <x v="18"/>
    <x v="18"/>
  </r>
  <r>
    <x v="19"/>
    <x v="0"/>
    <x v="0"/>
    <x v="0"/>
    <x v="0"/>
    <x v="19"/>
    <x v="19"/>
    <x v="19"/>
    <x v="19"/>
    <x v="19"/>
    <x v="19"/>
    <x v="19"/>
    <x v="19"/>
    <x v="19"/>
  </r>
  <r>
    <x v="20"/>
    <x v="0"/>
    <x v="0"/>
    <x v="0"/>
    <x v="0"/>
    <x v="20"/>
    <x v="20"/>
    <x v="20"/>
    <x v="20"/>
    <x v="20"/>
    <x v="20"/>
    <x v="20"/>
    <x v="20"/>
    <x v="20"/>
  </r>
  <r>
    <x v="21"/>
    <x v="0"/>
    <x v="0"/>
    <x v="0"/>
    <x v="0"/>
    <x v="21"/>
    <x v="21"/>
    <x v="21"/>
    <x v="21"/>
    <x v="21"/>
    <x v="21"/>
    <x v="21"/>
    <x v="21"/>
    <x v="21"/>
  </r>
  <r>
    <x v="22"/>
    <x v="0"/>
    <x v="0"/>
    <x v="0"/>
    <x v="0"/>
    <x v="22"/>
    <x v="22"/>
    <x v="22"/>
    <x v="22"/>
    <x v="22"/>
    <x v="22"/>
    <x v="22"/>
    <x v="22"/>
    <x v="22"/>
  </r>
  <r>
    <x v="23"/>
    <x v="0"/>
    <x v="0"/>
    <x v="0"/>
    <x v="0"/>
    <x v="23"/>
    <x v="23"/>
    <x v="23"/>
    <x v="23"/>
    <x v="23"/>
    <x v="23"/>
    <x v="23"/>
    <x v="23"/>
    <x v="23"/>
  </r>
  <r>
    <x v="24"/>
    <x v="0"/>
    <x v="0"/>
    <x v="0"/>
    <x v="0"/>
    <x v="24"/>
    <x v="24"/>
    <x v="24"/>
    <x v="24"/>
    <x v="24"/>
    <x v="24"/>
    <x v="24"/>
    <x v="24"/>
    <x v="24"/>
  </r>
  <r>
    <x v="25"/>
    <x v="0"/>
    <x v="0"/>
    <x v="0"/>
    <x v="0"/>
    <x v="25"/>
    <x v="25"/>
    <x v="25"/>
    <x v="25"/>
    <x v="25"/>
    <x v="25"/>
    <x v="25"/>
    <x v="25"/>
    <x v="25"/>
  </r>
  <r>
    <x v="26"/>
    <x v="0"/>
    <x v="0"/>
    <x v="0"/>
    <x v="0"/>
    <x v="26"/>
    <x v="26"/>
    <x v="26"/>
    <x v="26"/>
    <x v="26"/>
    <x v="26"/>
    <x v="26"/>
    <x v="26"/>
    <x v="26"/>
  </r>
  <r>
    <x v="27"/>
    <x v="0"/>
    <x v="0"/>
    <x v="0"/>
    <x v="0"/>
    <x v="27"/>
    <x v="27"/>
    <x v="27"/>
    <x v="27"/>
    <x v="27"/>
    <x v="27"/>
    <x v="27"/>
    <x v="27"/>
    <x v="27"/>
  </r>
  <r>
    <x v="28"/>
    <x v="0"/>
    <x v="0"/>
    <x v="0"/>
    <x v="0"/>
    <x v="28"/>
    <x v="28"/>
    <x v="28"/>
    <x v="28"/>
    <x v="28"/>
    <x v="28"/>
    <x v="28"/>
    <x v="28"/>
    <x v="28"/>
  </r>
  <r>
    <x v="29"/>
    <x v="0"/>
    <x v="0"/>
    <x v="0"/>
    <x v="0"/>
    <x v="29"/>
    <x v="29"/>
    <x v="29"/>
    <x v="29"/>
    <x v="29"/>
    <x v="29"/>
    <x v="29"/>
    <x v="29"/>
    <x v="29"/>
  </r>
  <r>
    <x v="30"/>
    <x v="0"/>
    <x v="0"/>
    <x v="0"/>
    <x v="0"/>
    <x v="30"/>
    <x v="30"/>
    <x v="30"/>
    <x v="30"/>
    <x v="30"/>
    <x v="30"/>
    <x v="30"/>
    <x v="30"/>
    <x v="30"/>
  </r>
  <r>
    <x v="31"/>
    <x v="0"/>
    <x v="0"/>
    <x v="0"/>
    <x v="0"/>
    <x v="31"/>
    <x v="31"/>
    <x v="31"/>
    <x v="31"/>
    <x v="31"/>
    <x v="31"/>
    <x v="31"/>
    <x v="31"/>
    <x v="31"/>
  </r>
  <r>
    <x v="32"/>
    <x v="0"/>
    <x v="0"/>
    <x v="0"/>
    <x v="0"/>
    <x v="32"/>
    <x v="32"/>
    <x v="32"/>
    <x v="32"/>
    <x v="32"/>
    <x v="32"/>
    <x v="32"/>
    <x v="32"/>
    <x v="32"/>
  </r>
  <r>
    <x v="33"/>
    <x v="0"/>
    <x v="0"/>
    <x v="0"/>
    <x v="0"/>
    <x v="33"/>
    <x v="33"/>
    <x v="33"/>
    <x v="33"/>
    <x v="33"/>
    <x v="33"/>
    <x v="33"/>
    <x v="33"/>
    <x v="33"/>
  </r>
  <r>
    <x v="34"/>
    <x v="0"/>
    <x v="0"/>
    <x v="0"/>
    <x v="0"/>
    <x v="34"/>
    <x v="34"/>
    <x v="34"/>
    <x v="34"/>
    <x v="34"/>
    <x v="34"/>
    <x v="34"/>
    <x v="34"/>
    <x v="34"/>
  </r>
  <r>
    <x v="35"/>
    <x v="0"/>
    <x v="0"/>
    <x v="0"/>
    <x v="0"/>
    <x v="35"/>
    <x v="35"/>
    <x v="35"/>
    <x v="35"/>
    <x v="35"/>
    <x v="35"/>
    <x v="35"/>
    <x v="35"/>
    <x v="35"/>
  </r>
  <r>
    <x v="36"/>
    <x v="0"/>
    <x v="0"/>
    <x v="0"/>
    <x v="0"/>
    <x v="36"/>
    <x v="36"/>
    <x v="36"/>
    <x v="36"/>
    <x v="36"/>
    <x v="36"/>
    <x v="36"/>
    <x v="36"/>
    <x v="36"/>
  </r>
  <r>
    <x v="37"/>
    <x v="0"/>
    <x v="0"/>
    <x v="0"/>
    <x v="0"/>
    <x v="37"/>
    <x v="37"/>
    <x v="37"/>
    <x v="37"/>
    <x v="37"/>
    <x v="37"/>
    <x v="37"/>
    <x v="37"/>
    <x v="37"/>
  </r>
  <r>
    <x v="38"/>
    <x v="0"/>
    <x v="0"/>
    <x v="0"/>
    <x v="0"/>
    <x v="38"/>
    <x v="38"/>
    <x v="38"/>
    <x v="38"/>
    <x v="38"/>
    <x v="38"/>
    <x v="38"/>
    <x v="38"/>
    <x v="38"/>
  </r>
  <r>
    <x v="39"/>
    <x v="0"/>
    <x v="0"/>
    <x v="0"/>
    <x v="0"/>
    <x v="39"/>
    <x v="39"/>
    <x v="39"/>
    <x v="39"/>
    <x v="39"/>
    <x v="39"/>
    <x v="39"/>
    <x v="39"/>
    <x v="39"/>
  </r>
  <r>
    <x v="40"/>
    <x v="0"/>
    <x v="0"/>
    <x v="0"/>
    <x v="0"/>
    <x v="40"/>
    <x v="40"/>
    <x v="40"/>
    <x v="40"/>
    <x v="40"/>
    <x v="40"/>
    <x v="40"/>
    <x v="40"/>
    <x v="40"/>
  </r>
  <r>
    <x v="41"/>
    <x v="0"/>
    <x v="0"/>
    <x v="0"/>
    <x v="0"/>
    <x v="41"/>
    <x v="41"/>
    <x v="41"/>
    <x v="41"/>
    <x v="41"/>
    <x v="41"/>
    <x v="41"/>
    <x v="41"/>
    <x v="41"/>
  </r>
  <r>
    <x v="42"/>
    <x v="0"/>
    <x v="0"/>
    <x v="0"/>
    <x v="0"/>
    <x v="42"/>
    <x v="42"/>
    <x v="42"/>
    <x v="42"/>
    <x v="42"/>
    <x v="42"/>
    <x v="42"/>
    <x v="42"/>
    <x v="42"/>
  </r>
  <r>
    <x v="43"/>
    <x v="0"/>
    <x v="0"/>
    <x v="0"/>
    <x v="0"/>
    <x v="43"/>
    <x v="43"/>
    <x v="43"/>
    <x v="43"/>
    <x v="43"/>
    <x v="43"/>
    <x v="43"/>
    <x v="43"/>
    <x v="43"/>
  </r>
  <r>
    <x v="44"/>
    <x v="0"/>
    <x v="0"/>
    <x v="0"/>
    <x v="0"/>
    <x v="44"/>
    <x v="44"/>
    <x v="44"/>
    <x v="44"/>
    <x v="44"/>
    <x v="44"/>
    <x v="44"/>
    <x v="44"/>
    <x v="44"/>
  </r>
  <r>
    <x v="45"/>
    <x v="0"/>
    <x v="0"/>
    <x v="0"/>
    <x v="0"/>
    <x v="45"/>
    <x v="45"/>
    <x v="45"/>
    <x v="45"/>
    <x v="45"/>
    <x v="45"/>
    <x v="45"/>
    <x v="45"/>
    <x v="45"/>
  </r>
  <r>
    <x v="46"/>
    <x v="0"/>
    <x v="0"/>
    <x v="0"/>
    <x v="0"/>
    <x v="46"/>
    <x v="46"/>
    <x v="46"/>
    <x v="46"/>
    <x v="46"/>
    <x v="46"/>
    <x v="46"/>
    <x v="46"/>
    <x v="46"/>
  </r>
  <r>
    <x v="47"/>
    <x v="0"/>
    <x v="0"/>
    <x v="0"/>
    <x v="0"/>
    <x v="47"/>
    <x v="47"/>
    <x v="47"/>
    <x v="47"/>
    <x v="47"/>
    <x v="47"/>
    <x v="47"/>
    <x v="47"/>
    <x v="47"/>
  </r>
  <r>
    <x v="48"/>
    <x v="0"/>
    <x v="0"/>
    <x v="0"/>
    <x v="0"/>
    <x v="48"/>
    <x v="48"/>
    <x v="48"/>
    <x v="48"/>
    <x v="48"/>
    <x v="48"/>
    <x v="48"/>
    <x v="48"/>
    <x v="48"/>
  </r>
  <r>
    <x v="49"/>
    <x v="0"/>
    <x v="0"/>
    <x v="0"/>
    <x v="0"/>
    <x v="49"/>
    <x v="49"/>
    <x v="49"/>
    <x v="49"/>
    <x v="49"/>
    <x v="49"/>
    <x v="49"/>
    <x v="49"/>
    <x v="49"/>
  </r>
  <r>
    <x v="50"/>
    <x v="0"/>
    <x v="0"/>
    <x v="0"/>
    <x v="0"/>
    <x v="50"/>
    <x v="50"/>
    <x v="50"/>
    <x v="50"/>
    <x v="50"/>
    <x v="50"/>
    <x v="50"/>
    <x v="50"/>
    <x v="50"/>
  </r>
  <r>
    <x v="51"/>
    <x v="0"/>
    <x v="0"/>
    <x v="0"/>
    <x v="0"/>
    <x v="51"/>
    <x v="51"/>
    <x v="51"/>
    <x v="51"/>
    <x v="51"/>
    <x v="51"/>
    <x v="51"/>
    <x v="51"/>
    <x v="51"/>
  </r>
  <r>
    <x v="52"/>
    <x v="0"/>
    <x v="0"/>
    <x v="0"/>
    <x v="0"/>
    <x v="52"/>
    <x v="52"/>
    <x v="52"/>
    <x v="52"/>
    <x v="52"/>
    <x v="52"/>
    <x v="52"/>
    <x v="52"/>
    <x v="52"/>
  </r>
  <r>
    <x v="53"/>
    <x v="0"/>
    <x v="0"/>
    <x v="0"/>
    <x v="0"/>
    <x v="53"/>
    <x v="53"/>
    <x v="53"/>
    <x v="53"/>
    <x v="53"/>
    <x v="53"/>
    <x v="53"/>
    <x v="53"/>
    <x v="53"/>
  </r>
  <r>
    <x v="54"/>
    <x v="0"/>
    <x v="0"/>
    <x v="0"/>
    <x v="0"/>
    <x v="54"/>
    <x v="54"/>
    <x v="54"/>
    <x v="54"/>
    <x v="54"/>
    <x v="54"/>
    <x v="54"/>
    <x v="54"/>
    <x v="54"/>
  </r>
  <r>
    <x v="55"/>
    <x v="0"/>
    <x v="0"/>
    <x v="0"/>
    <x v="0"/>
    <x v="55"/>
    <x v="55"/>
    <x v="55"/>
    <x v="55"/>
    <x v="55"/>
    <x v="55"/>
    <x v="55"/>
    <x v="55"/>
    <x v="55"/>
  </r>
  <r>
    <x v="56"/>
    <x v="0"/>
    <x v="0"/>
    <x v="0"/>
    <x v="0"/>
    <x v="56"/>
    <x v="56"/>
    <x v="56"/>
    <x v="56"/>
    <x v="56"/>
    <x v="56"/>
    <x v="56"/>
    <x v="56"/>
    <x v="56"/>
  </r>
  <r>
    <x v="57"/>
    <x v="0"/>
    <x v="0"/>
    <x v="0"/>
    <x v="0"/>
    <x v="57"/>
    <x v="57"/>
    <x v="57"/>
    <x v="57"/>
    <x v="57"/>
    <x v="57"/>
    <x v="57"/>
    <x v="57"/>
    <x v="57"/>
  </r>
  <r>
    <x v="58"/>
    <x v="0"/>
    <x v="0"/>
    <x v="0"/>
    <x v="0"/>
    <x v="58"/>
    <x v="58"/>
    <x v="58"/>
    <x v="58"/>
    <x v="58"/>
    <x v="58"/>
    <x v="58"/>
    <x v="58"/>
    <x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8">
  <location ref="A4:D65" firstHeaderRow="1" firstDataRow="2" firstDataCol="1" rowPageCount="2" colPageCount="1"/>
  <pivotFields count="14">
    <pivotField axis="axisRow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axis="axisPage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numFmtId="8" showAll="0"/>
    <pivotField dataField="1" numFmtId="2" showAll="0"/>
    <pivotField dataField="1" numFmtId="2" showAll="0"/>
    <pivotField showAll="0"/>
    <pivotField showAll="0"/>
    <pivotField dataField="1" numFmtId="8" showAll="0"/>
    <pivotField showAll="0"/>
    <pivotField numFmtId="8" showAll="0"/>
    <pivotField numFmtId="8" showAll="0"/>
  </pivotFields>
  <rowFields count="1">
    <field x="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-1"/>
    <pageField fld="2" hier="-1"/>
  </pageFields>
  <dataFields count="3">
    <dataField name="Sum of EMI" fld="10" baseField="0" baseItem="0"/>
    <dataField name="Sum of Total Payment" fld="6" baseField="0" baseItem="0"/>
    <dataField name="Sum of Total Interest" fld="7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5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10:D71" firstHeaderRow="1" firstDataRow="2" firstDataCol="1" rowPageCount="2" colPageCount="1"/>
  <pivotFields count="14">
    <pivotField axis="axisRow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axis="axisPage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numFmtId="8" showAll="0"/>
    <pivotField dataField="1" numFmtId="2" showAll="0"/>
    <pivotField dataField="1" numFmtId="2" showAll="0"/>
    <pivotField showAll="0"/>
    <pivotField showAll="0"/>
    <pivotField dataField="1" numFmtId="8" showAll="0"/>
    <pivotField showAll="0"/>
    <pivotField numFmtId="8" showAll="0"/>
    <pivotField numFmtId="8" showAll="0"/>
  </pivotFields>
  <rowFields count="1">
    <field x="0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-1"/>
    <pageField fld="2" hier="-1"/>
  </pageFields>
  <dataFields count="3">
    <dataField name="Sum of EMI" fld="10" baseField="0" baseItem="0"/>
    <dataField name="Sum of Total Payment" fld="6" baseField="0" baseItem="0"/>
    <dataField name="Sum of Total Interest" fld="7" baseField="0" baseItem="0"/>
  </dataFields>
  <formats count="9">
    <format dxfId="29">
      <pivotArea type="all" dataOnly="0" outline="0" fieldPosition="0"/>
    </format>
    <format dxfId="7">
      <pivotArea field="1" type="button" dataOnly="0" labelOnly="1" outline="0" axis="axisPage" fieldPosition="0"/>
    </format>
    <format dxfId="6">
      <pivotArea dataOnly="0" labelOnly="1" outline="0" fieldPosition="0">
        <references count="1">
          <reference field="1" count="0"/>
        </references>
      </pivotArea>
    </format>
    <format dxfId="5">
      <pivotArea field="2" type="button" dataOnly="0" labelOnly="1" outline="0" axis="axisPage" fieldPosition="1"/>
    </format>
    <format dxfId="4">
      <pivotArea dataOnly="0" labelOnly="1" outline="0" fieldPosition="0">
        <references count="1">
          <reference field="2" count="0"/>
        </references>
      </pivotArea>
    </format>
    <format dxfId="3">
      <pivotArea field="1" type="button" dataOnly="0" labelOnly="1" outline="0" axis="axisPage" fieldPosition="0"/>
    </format>
    <format dxfId="2">
      <pivotArea dataOnly="0" labelOnly="1" outline="0" fieldPosition="0">
        <references count="1">
          <reference field="1" count="0"/>
        </references>
      </pivotArea>
    </format>
    <format dxfId="1">
      <pivotArea field="2" type="button" dataOnly="0" labelOnly="1" outline="0" axis="axisPage" fieldPosition="1"/>
    </format>
    <format dxfId="0">
      <pivotArea dataOnly="0" labelOnly="1" outline="0" fieldPosition="0">
        <references count="1">
          <reference field="2" count="0"/>
        </references>
      </pivotArea>
    </format>
  </formats>
  <conditionalFormats count="6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2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5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30"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</reference>
          </references>
        </pivotArea>
      </pivotAreas>
    </conditionalFormat>
  </conditional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>
      <selection activeCell="F3" sqref="F3"/>
    </sheetView>
  </sheetViews>
  <sheetFormatPr defaultRowHeight="15"/>
  <cols>
    <col min="1" max="1" width="16" bestFit="1" customWidth="1"/>
    <col min="2" max="2" width="12" bestFit="1" customWidth="1"/>
    <col min="3" max="3" width="20.5703125" bestFit="1" customWidth="1"/>
    <col min="4" max="4" width="19.7109375" bestFit="1" customWidth="1"/>
    <col min="5" max="5" width="20.85546875" bestFit="1" customWidth="1"/>
    <col min="6" max="6" width="20.85546875" customWidth="1"/>
  </cols>
  <sheetData>
    <row r="1" spans="1:9">
      <c r="A1" s="12" t="s">
        <v>1</v>
      </c>
      <c r="B1" t="s">
        <v>18</v>
      </c>
    </row>
    <row r="2" spans="1:9">
      <c r="A2" s="12" t="s">
        <v>2</v>
      </c>
      <c r="B2" t="s">
        <v>18</v>
      </c>
    </row>
    <row r="3" spans="1:9">
      <c r="F3" s="26" t="s">
        <v>21</v>
      </c>
      <c r="I3" s="4"/>
    </row>
    <row r="4" spans="1:9">
      <c r="B4" s="12" t="s">
        <v>14</v>
      </c>
    </row>
    <row r="5" spans="1:9">
      <c r="A5" s="12" t="s">
        <v>19</v>
      </c>
      <c r="B5" t="s">
        <v>15</v>
      </c>
      <c r="C5" t="s">
        <v>16</v>
      </c>
      <c r="D5" t="s">
        <v>17</v>
      </c>
    </row>
    <row r="6" spans="1:9">
      <c r="A6" s="10">
        <v>500000</v>
      </c>
      <c r="B6" s="3">
        <v>10623.522355634175</v>
      </c>
      <c r="C6" s="3">
        <v>637411.34133805055</v>
      </c>
      <c r="D6" s="3">
        <v>137411.34133805055</v>
      </c>
    </row>
    <row r="7" spans="1:9">
      <c r="A7" s="10">
        <v>500500</v>
      </c>
      <c r="B7" s="3">
        <v>10634.145877989808</v>
      </c>
      <c r="C7" s="3">
        <v>638048.7526793885</v>
      </c>
      <c r="D7" s="3">
        <v>137548.7526793885</v>
      </c>
    </row>
    <row r="8" spans="1:9">
      <c r="A8" s="10">
        <v>501000</v>
      </c>
      <c r="B8" s="3">
        <v>10644.769400345442</v>
      </c>
      <c r="C8" s="3">
        <v>638686.16402072646</v>
      </c>
      <c r="D8" s="3">
        <v>137686.16402072646</v>
      </c>
    </row>
    <row r="9" spans="1:9">
      <c r="A9" s="10">
        <v>501500</v>
      </c>
      <c r="B9" s="3">
        <v>10655.392922701076</v>
      </c>
      <c r="C9" s="3">
        <v>639323.57536206453</v>
      </c>
      <c r="D9" s="3">
        <v>137823.57536206453</v>
      </c>
    </row>
    <row r="10" spans="1:9">
      <c r="A10" s="10">
        <v>502000</v>
      </c>
      <c r="B10" s="3">
        <v>10666.01644505671</v>
      </c>
      <c r="C10" s="3">
        <v>639960.9867034026</v>
      </c>
      <c r="D10" s="3">
        <v>137960.9867034026</v>
      </c>
    </row>
    <row r="11" spans="1:9">
      <c r="A11" s="10">
        <v>502500</v>
      </c>
      <c r="B11" s="3">
        <v>10676.639967412346</v>
      </c>
      <c r="C11" s="3">
        <v>640598.39804474078</v>
      </c>
      <c r="D11" s="3">
        <v>138098.39804474078</v>
      </c>
    </row>
    <row r="12" spans="1:9">
      <c r="A12" s="10">
        <v>503000</v>
      </c>
      <c r="B12" s="3">
        <v>10687.263489767978</v>
      </c>
      <c r="C12" s="3">
        <v>641235.80938607873</v>
      </c>
      <c r="D12" s="3">
        <v>138235.80938607873</v>
      </c>
    </row>
    <row r="13" spans="1:9">
      <c r="A13" s="10">
        <v>503500</v>
      </c>
      <c r="B13" s="3">
        <v>10697.887012123614</v>
      </c>
      <c r="C13" s="3">
        <v>641873.2207274168</v>
      </c>
      <c r="D13" s="3">
        <v>138373.2207274168</v>
      </c>
    </row>
    <row r="14" spans="1:9">
      <c r="A14" s="10">
        <v>504000</v>
      </c>
      <c r="B14" s="3">
        <v>10708.510534479246</v>
      </c>
      <c r="C14" s="3">
        <v>642510.63206875476</v>
      </c>
      <c r="D14" s="3">
        <v>138510.63206875476</v>
      </c>
    </row>
    <row r="15" spans="1:9">
      <c r="A15" s="10">
        <v>504500</v>
      </c>
      <c r="B15" s="3">
        <v>10719.134056834881</v>
      </c>
      <c r="C15" s="3">
        <v>643148.04341009283</v>
      </c>
      <c r="D15" s="3">
        <v>138648.04341009283</v>
      </c>
    </row>
    <row r="16" spans="1:9">
      <c r="A16" s="10">
        <v>505000</v>
      </c>
      <c r="B16" s="3">
        <v>10729.757579190516</v>
      </c>
      <c r="C16" s="3">
        <v>643785.45475143101</v>
      </c>
      <c r="D16" s="3">
        <v>138785.45475143101</v>
      </c>
    </row>
    <row r="17" spans="1:10">
      <c r="A17" s="10">
        <v>505500</v>
      </c>
      <c r="B17" s="3">
        <v>10740.381101546149</v>
      </c>
      <c r="C17" s="3">
        <v>644422.86609276896</v>
      </c>
      <c r="D17" s="3">
        <v>138922.86609276896</v>
      </c>
      <c r="F17" s="4" t="s">
        <v>22</v>
      </c>
      <c r="J17" s="4"/>
    </row>
    <row r="18" spans="1:10">
      <c r="A18" s="10">
        <v>506000</v>
      </c>
      <c r="B18" s="3">
        <v>10751.004623901785</v>
      </c>
      <c r="C18" s="3">
        <v>645060.27743410703</v>
      </c>
      <c r="D18" s="3">
        <v>139060.27743410703</v>
      </c>
    </row>
    <row r="19" spans="1:10">
      <c r="A19" s="10">
        <v>506500</v>
      </c>
      <c r="B19" s="3">
        <v>10761.628146257419</v>
      </c>
      <c r="C19" s="3">
        <v>645697.6887754451</v>
      </c>
      <c r="D19" s="3">
        <v>139197.6887754451</v>
      </c>
    </row>
    <row r="20" spans="1:10">
      <c r="A20" s="10">
        <v>507000</v>
      </c>
      <c r="B20" s="3">
        <v>10772.251668613051</v>
      </c>
      <c r="C20" s="3">
        <v>646335.10011678305</v>
      </c>
      <c r="D20" s="3">
        <v>139335.10011678305</v>
      </c>
    </row>
    <row r="21" spans="1:10">
      <c r="A21" s="10">
        <v>507500</v>
      </c>
      <c r="B21" s="3">
        <v>10782.875190968687</v>
      </c>
      <c r="C21" s="3">
        <v>646972.51145812124</v>
      </c>
      <c r="D21" s="3">
        <v>139472.51145812124</v>
      </c>
    </row>
    <row r="22" spans="1:10">
      <c r="A22" s="10">
        <v>508000</v>
      </c>
      <c r="B22" s="3">
        <v>10793.498713324319</v>
      </c>
      <c r="C22" s="3">
        <v>647609.92279945919</v>
      </c>
      <c r="D22" s="3">
        <v>139609.92279945919</v>
      </c>
    </row>
    <row r="23" spans="1:10">
      <c r="A23" s="10">
        <v>508500</v>
      </c>
      <c r="B23" s="3">
        <v>10804.122235679955</v>
      </c>
      <c r="C23" s="3">
        <v>648247.33414079738</v>
      </c>
      <c r="D23" s="3">
        <v>139747.33414079738</v>
      </c>
    </row>
    <row r="24" spans="1:10">
      <c r="A24" s="10">
        <v>509000</v>
      </c>
      <c r="B24" s="3">
        <v>10814.745758035589</v>
      </c>
      <c r="C24" s="3">
        <v>648884.74548213533</v>
      </c>
      <c r="D24" s="3">
        <v>139884.74548213533</v>
      </c>
    </row>
    <row r="25" spans="1:10">
      <c r="A25" s="10">
        <v>509500</v>
      </c>
      <c r="B25" s="3">
        <v>10825.369280391224</v>
      </c>
      <c r="C25" s="3">
        <v>649522.1568234734</v>
      </c>
      <c r="D25" s="3">
        <v>140022.1568234734</v>
      </c>
    </row>
    <row r="26" spans="1:10">
      <c r="A26" s="10">
        <v>510000</v>
      </c>
      <c r="B26" s="3">
        <v>10835.992802746858</v>
      </c>
      <c r="C26" s="3">
        <v>650159.56816481147</v>
      </c>
      <c r="D26" s="3">
        <v>140159.56816481147</v>
      </c>
    </row>
    <row r="27" spans="1:10">
      <c r="A27" s="10">
        <v>510500</v>
      </c>
      <c r="B27" s="3">
        <v>10846.616325102492</v>
      </c>
      <c r="C27" s="3">
        <v>650796.97950614954</v>
      </c>
      <c r="D27" s="3">
        <v>140296.97950614954</v>
      </c>
    </row>
    <row r="28" spans="1:10">
      <c r="A28" s="10">
        <v>511000</v>
      </c>
      <c r="B28" s="3">
        <v>10857.239847458126</v>
      </c>
      <c r="C28" s="3">
        <v>651434.39084748761</v>
      </c>
      <c r="D28" s="3">
        <v>140434.39084748761</v>
      </c>
    </row>
    <row r="29" spans="1:10">
      <c r="A29" s="10">
        <v>511500</v>
      </c>
      <c r="B29" s="3">
        <v>10867.86336981376</v>
      </c>
      <c r="C29" s="3">
        <v>652071.80218882556</v>
      </c>
      <c r="D29" s="3">
        <v>140571.80218882556</v>
      </c>
    </row>
    <row r="30" spans="1:10">
      <c r="A30" s="10">
        <v>512000</v>
      </c>
      <c r="B30" s="3">
        <v>10878.486892169394</v>
      </c>
      <c r="C30" s="3">
        <v>652709.21353016363</v>
      </c>
      <c r="D30" s="3">
        <v>140709.21353016363</v>
      </c>
    </row>
    <row r="31" spans="1:10">
      <c r="A31" s="10">
        <v>512500</v>
      </c>
      <c r="B31" s="3">
        <v>10889.110414525028</v>
      </c>
      <c r="C31" s="3">
        <v>653346.6248715017</v>
      </c>
      <c r="D31" s="3">
        <v>140846.6248715017</v>
      </c>
    </row>
    <row r="32" spans="1:10">
      <c r="A32" s="10">
        <v>513000</v>
      </c>
      <c r="B32" s="3">
        <v>10899.733936880662</v>
      </c>
      <c r="C32" s="3">
        <v>653984.03621283977</v>
      </c>
      <c r="D32" s="3">
        <v>140984.03621283977</v>
      </c>
    </row>
    <row r="33" spans="1:16">
      <c r="A33" s="10">
        <v>513500</v>
      </c>
      <c r="B33" s="3">
        <v>10910.357459236297</v>
      </c>
      <c r="C33" s="3">
        <v>654621.44755417784</v>
      </c>
      <c r="D33" s="3">
        <v>141121.44755417784</v>
      </c>
      <c r="H33" s="1"/>
      <c r="I33" s="1"/>
    </row>
    <row r="34" spans="1:16" ht="15.75" thickBot="1">
      <c r="A34" s="10">
        <v>514000</v>
      </c>
      <c r="B34" s="3">
        <v>10920.980981591931</v>
      </c>
      <c r="C34" s="3">
        <v>655258.85889551579</v>
      </c>
      <c r="D34" s="3">
        <v>141258.85889551579</v>
      </c>
      <c r="H34" s="2"/>
      <c r="I34" s="2"/>
    </row>
    <row r="35" spans="1:16">
      <c r="A35" s="10">
        <v>514500</v>
      </c>
      <c r="B35" s="3">
        <v>10931.604503947565</v>
      </c>
      <c r="C35" s="3">
        <v>655896.27023685386</v>
      </c>
      <c r="D35" s="3">
        <v>141396.27023685386</v>
      </c>
      <c r="H35" s="2"/>
      <c r="I35" s="2"/>
      <c r="J35" s="13" t="s">
        <v>23</v>
      </c>
      <c r="K35" s="14" t="s">
        <v>24</v>
      </c>
      <c r="O35" s="13"/>
      <c r="P35" s="14"/>
    </row>
    <row r="36" spans="1:16">
      <c r="A36" s="10">
        <v>515000</v>
      </c>
      <c r="B36" s="3">
        <v>10942.228026303199</v>
      </c>
      <c r="C36" s="3">
        <v>656533.68157819193</v>
      </c>
      <c r="D36" s="3">
        <v>141533.68157819193</v>
      </c>
      <c r="J36" s="15" t="s">
        <v>11</v>
      </c>
      <c r="K36" s="16">
        <v>500000</v>
      </c>
      <c r="O36" s="15"/>
      <c r="P36" s="16"/>
    </row>
    <row r="37" spans="1:16" ht="15.75" thickBot="1">
      <c r="A37" s="10">
        <v>515500</v>
      </c>
      <c r="B37" s="3">
        <v>10952.851548658833</v>
      </c>
      <c r="C37" s="3">
        <v>657171.09291953</v>
      </c>
      <c r="D37" s="3">
        <v>141671.09291953</v>
      </c>
      <c r="J37" s="17" t="s">
        <v>10</v>
      </c>
      <c r="K37" s="18">
        <v>137411</v>
      </c>
      <c r="O37" s="17"/>
      <c r="P37" s="18"/>
    </row>
    <row r="38" spans="1:16">
      <c r="A38" s="10">
        <v>516000</v>
      </c>
      <c r="B38" s="3">
        <v>10963.475071014467</v>
      </c>
      <c r="C38" s="3">
        <v>657808.50426086807</v>
      </c>
      <c r="D38" s="3">
        <v>141808.50426086807</v>
      </c>
    </row>
    <row r="39" spans="1:16">
      <c r="A39" s="10">
        <v>516500</v>
      </c>
      <c r="B39" s="3">
        <v>10974.098593370101</v>
      </c>
      <c r="C39" s="3">
        <v>658445.91560220602</v>
      </c>
      <c r="D39" s="3">
        <v>141945.91560220602</v>
      </c>
    </row>
    <row r="40" spans="1:16">
      <c r="A40" s="10">
        <v>517000</v>
      </c>
      <c r="B40" s="3">
        <v>10984.722115725737</v>
      </c>
      <c r="C40" s="3">
        <v>659083.32694354421</v>
      </c>
      <c r="D40" s="3">
        <v>142083.32694354421</v>
      </c>
    </row>
    <row r="41" spans="1:16">
      <c r="A41" s="10">
        <v>517500</v>
      </c>
      <c r="B41" s="3">
        <v>10995.34563808137</v>
      </c>
      <c r="C41" s="3">
        <v>659720.73828488216</v>
      </c>
      <c r="D41" s="3">
        <v>142220.73828488216</v>
      </c>
    </row>
    <row r="42" spans="1:16">
      <c r="A42" s="10">
        <v>518000</v>
      </c>
      <c r="B42" s="3">
        <v>11005.969160437004</v>
      </c>
      <c r="C42" s="3">
        <v>660358.14962622023</v>
      </c>
      <c r="D42" s="3">
        <v>142358.14962622023</v>
      </c>
    </row>
    <row r="43" spans="1:16">
      <c r="A43" s="10">
        <v>518500</v>
      </c>
      <c r="B43" s="3">
        <v>11016.592682792638</v>
      </c>
      <c r="C43" s="3">
        <v>660995.5609675583</v>
      </c>
      <c r="D43" s="3">
        <v>142495.5609675583</v>
      </c>
    </row>
    <row r="44" spans="1:16">
      <c r="A44" s="10">
        <v>519000</v>
      </c>
      <c r="B44" s="3">
        <v>11027.216205148272</v>
      </c>
      <c r="C44" s="3">
        <v>661632.97230889637</v>
      </c>
      <c r="D44" s="3">
        <v>142632.97230889637</v>
      </c>
      <c r="M44" s="1"/>
      <c r="N44" s="1"/>
    </row>
    <row r="45" spans="1:16">
      <c r="A45" s="10">
        <v>519500</v>
      </c>
      <c r="B45" s="3">
        <v>11037.839727503908</v>
      </c>
      <c r="C45" s="3">
        <v>662270.38365023443</v>
      </c>
      <c r="D45" s="3">
        <v>142770.38365023443</v>
      </c>
      <c r="M45" s="2"/>
      <c r="N45" s="2"/>
    </row>
    <row r="46" spans="1:16">
      <c r="A46" s="10">
        <v>520000</v>
      </c>
      <c r="B46" s="3">
        <v>11048.46324985954</v>
      </c>
      <c r="C46" s="3">
        <v>662907.79499157239</v>
      </c>
      <c r="D46" s="3">
        <v>142907.79499157239</v>
      </c>
      <c r="M46" s="2"/>
      <c r="N46" s="2"/>
    </row>
    <row r="47" spans="1:16">
      <c r="A47" s="10">
        <v>520500</v>
      </c>
      <c r="B47" s="3">
        <v>11059.086772215174</v>
      </c>
      <c r="C47" s="3">
        <v>663545.20633291046</v>
      </c>
      <c r="D47" s="3">
        <v>143045.20633291046</v>
      </c>
    </row>
    <row r="48" spans="1:16">
      <c r="A48" s="10">
        <v>521000</v>
      </c>
      <c r="B48" s="3">
        <v>11069.710294570808</v>
      </c>
      <c r="C48" s="3">
        <v>664182.61767424853</v>
      </c>
      <c r="D48" s="3">
        <v>143182.61767424853</v>
      </c>
    </row>
    <row r="49" spans="1:4">
      <c r="A49" s="10">
        <v>521500</v>
      </c>
      <c r="B49" s="3">
        <v>11080.333816926443</v>
      </c>
      <c r="C49" s="3">
        <v>664820.0290155866</v>
      </c>
      <c r="D49" s="3">
        <v>143320.0290155866</v>
      </c>
    </row>
    <row r="50" spans="1:4">
      <c r="A50" s="10">
        <v>522000</v>
      </c>
      <c r="B50" s="3">
        <v>11090.957339282078</v>
      </c>
      <c r="C50" s="3">
        <v>665457.44035692466</v>
      </c>
      <c r="D50" s="3">
        <v>143457.44035692466</v>
      </c>
    </row>
    <row r="51" spans="1:4">
      <c r="A51" s="10">
        <v>522500</v>
      </c>
      <c r="B51" s="3">
        <v>11101.580861637711</v>
      </c>
      <c r="C51" s="3">
        <v>666094.85169826262</v>
      </c>
      <c r="D51" s="3">
        <v>143594.85169826262</v>
      </c>
    </row>
    <row r="52" spans="1:4">
      <c r="A52" s="10">
        <v>523000</v>
      </c>
      <c r="B52" s="3">
        <v>11112.204383993347</v>
      </c>
      <c r="C52" s="3">
        <v>666732.2630396008</v>
      </c>
      <c r="D52" s="3">
        <v>143732.2630396008</v>
      </c>
    </row>
    <row r="53" spans="1:4">
      <c r="A53" s="10">
        <v>523500</v>
      </c>
      <c r="B53" s="3">
        <v>11122.827906348981</v>
      </c>
      <c r="C53" s="3">
        <v>667369.67438093887</v>
      </c>
      <c r="D53" s="3">
        <v>143869.67438093887</v>
      </c>
    </row>
    <row r="54" spans="1:4">
      <c r="A54" s="10">
        <v>524000</v>
      </c>
      <c r="B54" s="3">
        <v>11133.451428704613</v>
      </c>
      <c r="C54" s="3">
        <v>668007.08572227682</v>
      </c>
      <c r="D54" s="3">
        <v>144007.08572227682</v>
      </c>
    </row>
    <row r="55" spans="1:4">
      <c r="A55" s="10">
        <v>524500</v>
      </c>
      <c r="B55" s="3">
        <v>11144.074951060249</v>
      </c>
      <c r="C55" s="3">
        <v>668644.49706361489</v>
      </c>
      <c r="D55" s="3">
        <v>144144.49706361489</v>
      </c>
    </row>
    <row r="56" spans="1:4">
      <c r="A56" s="10">
        <v>525000</v>
      </c>
      <c r="B56" s="3">
        <v>11154.698473415881</v>
      </c>
      <c r="C56" s="3">
        <v>669281.90840495285</v>
      </c>
      <c r="D56" s="3">
        <v>144281.90840495285</v>
      </c>
    </row>
    <row r="57" spans="1:4">
      <c r="A57" s="10">
        <v>525500</v>
      </c>
      <c r="B57" s="3">
        <v>11165.321995771517</v>
      </c>
      <c r="C57" s="3">
        <v>669919.31974629103</v>
      </c>
      <c r="D57" s="3">
        <v>144419.31974629103</v>
      </c>
    </row>
    <row r="58" spans="1:4">
      <c r="A58" s="10">
        <v>526000</v>
      </c>
      <c r="B58" s="3">
        <v>11175.945518127151</v>
      </c>
      <c r="C58" s="3">
        <v>670556.7310876291</v>
      </c>
      <c r="D58" s="3">
        <v>144556.7310876291</v>
      </c>
    </row>
    <row r="59" spans="1:4">
      <c r="A59" s="10">
        <v>526500</v>
      </c>
      <c r="B59" s="3">
        <v>11186.569040482784</v>
      </c>
      <c r="C59" s="3">
        <v>671194.14242896705</v>
      </c>
      <c r="D59" s="3">
        <v>144694.14242896705</v>
      </c>
    </row>
    <row r="60" spans="1:4">
      <c r="A60" s="10">
        <v>527000</v>
      </c>
      <c r="B60" s="3">
        <v>11197.19256283842</v>
      </c>
      <c r="C60" s="3">
        <v>671831.55377030512</v>
      </c>
      <c r="D60" s="3">
        <v>144831.55377030512</v>
      </c>
    </row>
    <row r="61" spans="1:4">
      <c r="A61" s="10">
        <v>527500</v>
      </c>
      <c r="B61" s="3">
        <v>11207.816085194054</v>
      </c>
      <c r="C61" s="3">
        <v>672468.96511164319</v>
      </c>
      <c r="D61" s="3">
        <v>144968.96511164319</v>
      </c>
    </row>
    <row r="62" spans="1:4">
      <c r="A62" s="10">
        <v>528000</v>
      </c>
      <c r="B62" s="3">
        <v>11218.439607549688</v>
      </c>
      <c r="C62" s="3">
        <v>673106.37645298126</v>
      </c>
      <c r="D62" s="3">
        <v>145106.37645298126</v>
      </c>
    </row>
    <row r="63" spans="1:4">
      <c r="A63" s="10">
        <v>528500</v>
      </c>
      <c r="B63" s="3">
        <v>11229.063129905322</v>
      </c>
      <c r="C63" s="3">
        <v>673743.78779431933</v>
      </c>
      <c r="D63" s="3">
        <v>145243.78779431933</v>
      </c>
    </row>
    <row r="64" spans="1:4">
      <c r="A64" s="10">
        <v>529000</v>
      </c>
      <c r="B64" s="3">
        <v>11239.686652260956</v>
      </c>
      <c r="C64" s="3">
        <v>674381.1991356574</v>
      </c>
      <c r="D64" s="3">
        <v>145381.1991356574</v>
      </c>
    </row>
    <row r="65" spans="1:4">
      <c r="A65" s="10" t="s">
        <v>20</v>
      </c>
      <c r="B65" s="3">
        <v>644964.66573290632</v>
      </c>
      <c r="C65" s="3">
        <v>38697879.943974376</v>
      </c>
      <c r="D65" s="3">
        <v>8342379.9439743795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1"/>
  <sheetViews>
    <sheetView topLeftCell="C1" workbookViewId="0">
      <selection activeCell="K2" sqref="K2"/>
    </sheetView>
  </sheetViews>
  <sheetFormatPr defaultRowHeight="15"/>
  <cols>
    <col min="1" max="1" width="15.7109375" customWidth="1"/>
    <col min="2" max="2" width="17.28515625" customWidth="1"/>
    <col min="3" max="3" width="15.85546875" customWidth="1"/>
    <col min="4" max="4" width="22" customWidth="1"/>
    <col min="5" max="5" width="14.7109375" customWidth="1"/>
    <col min="6" max="6" width="13.85546875" customWidth="1"/>
    <col min="7" max="7" width="14" customWidth="1"/>
    <col min="8" max="8" width="13.28515625" customWidth="1"/>
    <col min="9" max="9" width="9.140625" customWidth="1"/>
    <col min="10" max="10" width="9.5703125" customWidth="1"/>
    <col min="11" max="11" width="14.42578125" customWidth="1"/>
    <col min="12" max="12" width="15.5703125" customWidth="1"/>
    <col min="13" max="13" width="10.28515625" customWidth="1"/>
    <col min="14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7" customFormat="1">
      <c r="A2" s="6">
        <v>500000</v>
      </c>
      <c r="B2" s="6">
        <v>10</v>
      </c>
      <c r="C2" s="6">
        <v>5</v>
      </c>
      <c r="D2" s="7">
        <f>B2/12/100</f>
        <v>8.3333333333333332E-3</v>
      </c>
      <c r="E2" s="7">
        <f>C2*12</f>
        <v>60</v>
      </c>
      <c r="F2" s="8">
        <f>PMT(B2/12/100, C2*12, -A2)</f>
        <v>10623.522355634175</v>
      </c>
      <c r="G2" s="9">
        <f>F2 * E2</f>
        <v>637411.34133805055</v>
      </c>
      <c r="H2" s="9">
        <f>G2-A2</f>
        <v>137411.34133805055</v>
      </c>
      <c r="I2" s="7">
        <f>A2</f>
        <v>500000</v>
      </c>
      <c r="J2" s="6">
        <v>1</v>
      </c>
      <c r="K2" s="5">
        <f>PMT(B2/12/100, C2*12, -A2)</f>
        <v>10623.522355634175</v>
      </c>
      <c r="L2" s="6">
        <f>A2*(B2/12/100)</f>
        <v>4166.666666666667</v>
      </c>
      <c r="M2" s="5">
        <f>K2-L2</f>
        <v>6456.8556889675083</v>
      </c>
      <c r="N2" s="5">
        <f>A2-M2</f>
        <v>493543.14431103249</v>
      </c>
    </row>
    <row r="3" spans="1:14">
      <c r="A3" s="7">
        <f>A2+500</f>
        <v>500500</v>
      </c>
      <c r="B3" s="6">
        <v>10</v>
      </c>
      <c r="C3" s="6">
        <v>5</v>
      </c>
      <c r="D3" s="7">
        <f t="shared" ref="D3:D60" si="0">B3/12/100</f>
        <v>8.3333333333333332E-3</v>
      </c>
      <c r="E3" s="7">
        <f t="shared" ref="E3:E60" si="1">C3*12</f>
        <v>60</v>
      </c>
      <c r="F3" s="8">
        <f t="shared" ref="F3:F60" si="2">PMT(B3/12/100, C3*12, -A3)</f>
        <v>10634.145877989808</v>
      </c>
      <c r="G3" s="9">
        <f t="shared" ref="G3:G60" si="3">F3 * E3</f>
        <v>638048.7526793885</v>
      </c>
      <c r="H3" s="9">
        <f t="shared" ref="H3:H60" si="4">G3-A3</f>
        <v>137548.7526793885</v>
      </c>
      <c r="I3" s="7">
        <f t="shared" ref="I3:I60" si="5">A3</f>
        <v>500500</v>
      </c>
      <c r="J3" s="7">
        <f>J2+1</f>
        <v>2</v>
      </c>
      <c r="K3" s="5">
        <f t="shared" ref="K3:K60" si="6">PMT(B3/12/100, C3*12, -A3)</f>
        <v>10634.145877989808</v>
      </c>
      <c r="L3" s="6">
        <f t="shared" ref="L3:L60" si="7">A3*(B3/12/100)</f>
        <v>4170.833333333333</v>
      </c>
      <c r="M3" s="5">
        <f t="shared" ref="M3:M60" si="8">K3-L3</f>
        <v>6463.3125446564745</v>
      </c>
      <c r="N3" s="5">
        <f>A3-M3</f>
        <v>494036.68745534355</v>
      </c>
    </row>
    <row r="4" spans="1:14">
      <c r="A4" s="7">
        <f t="shared" ref="A4:A60" si="9">A3+500</f>
        <v>501000</v>
      </c>
      <c r="B4" s="6">
        <v>10</v>
      </c>
      <c r="C4" s="6">
        <v>5</v>
      </c>
      <c r="D4" s="7">
        <f t="shared" si="0"/>
        <v>8.3333333333333332E-3</v>
      </c>
      <c r="E4" s="7">
        <f t="shared" si="1"/>
        <v>60</v>
      </c>
      <c r="F4" s="8">
        <f t="shared" si="2"/>
        <v>10644.769400345442</v>
      </c>
      <c r="G4" s="9">
        <f t="shared" si="3"/>
        <v>638686.16402072646</v>
      </c>
      <c r="H4" s="9">
        <f t="shared" si="4"/>
        <v>137686.16402072646</v>
      </c>
      <c r="I4" s="7">
        <f t="shared" si="5"/>
        <v>501000</v>
      </c>
      <c r="J4" s="7">
        <f t="shared" ref="J4:J60" si="10">J3+1</f>
        <v>3</v>
      </c>
      <c r="K4" s="5">
        <f t="shared" si="6"/>
        <v>10644.769400345442</v>
      </c>
      <c r="L4" s="6">
        <f t="shared" si="7"/>
        <v>4175</v>
      </c>
      <c r="M4" s="5">
        <f t="shared" si="8"/>
        <v>6469.7694003454417</v>
      </c>
      <c r="N4" s="5">
        <f>A4-M4</f>
        <v>494530.23059965455</v>
      </c>
    </row>
    <row r="5" spans="1:14">
      <c r="A5" s="7">
        <f t="shared" si="9"/>
        <v>501500</v>
      </c>
      <c r="B5" s="6">
        <v>10</v>
      </c>
      <c r="C5" s="6">
        <v>5</v>
      </c>
      <c r="D5" s="7">
        <f t="shared" si="0"/>
        <v>8.3333333333333332E-3</v>
      </c>
      <c r="E5" s="7">
        <f t="shared" si="1"/>
        <v>60</v>
      </c>
      <c r="F5" s="8">
        <f t="shared" si="2"/>
        <v>10655.392922701076</v>
      </c>
      <c r="G5" s="9">
        <f t="shared" si="3"/>
        <v>639323.57536206453</v>
      </c>
      <c r="H5" s="9">
        <f t="shared" si="4"/>
        <v>137823.57536206453</v>
      </c>
      <c r="I5" s="7">
        <f t="shared" si="5"/>
        <v>501500</v>
      </c>
      <c r="J5" s="7">
        <f t="shared" si="10"/>
        <v>4</v>
      </c>
      <c r="K5" s="5">
        <f t="shared" si="6"/>
        <v>10655.392922701076</v>
      </c>
      <c r="L5" s="6">
        <f t="shared" si="7"/>
        <v>4179.166666666667</v>
      </c>
      <c r="M5" s="5">
        <f t="shared" si="8"/>
        <v>6476.2262560344088</v>
      </c>
      <c r="N5" s="5">
        <f>A5-M5</f>
        <v>495023.7737439656</v>
      </c>
    </row>
    <row r="6" spans="1:14">
      <c r="A6" s="7">
        <f t="shared" si="9"/>
        <v>502000</v>
      </c>
      <c r="B6" s="6">
        <v>10</v>
      </c>
      <c r="C6" s="6">
        <v>5</v>
      </c>
      <c r="D6" s="7">
        <f t="shared" si="0"/>
        <v>8.3333333333333332E-3</v>
      </c>
      <c r="E6" s="7">
        <f t="shared" si="1"/>
        <v>60</v>
      </c>
      <c r="F6" s="8">
        <f t="shared" si="2"/>
        <v>10666.01644505671</v>
      </c>
      <c r="G6" s="9">
        <f t="shared" si="3"/>
        <v>639960.9867034026</v>
      </c>
      <c r="H6" s="9">
        <f t="shared" si="4"/>
        <v>137960.9867034026</v>
      </c>
      <c r="I6" s="7">
        <f t="shared" si="5"/>
        <v>502000</v>
      </c>
      <c r="J6" s="7">
        <f t="shared" si="10"/>
        <v>5</v>
      </c>
      <c r="K6" s="5">
        <f t="shared" si="6"/>
        <v>10666.01644505671</v>
      </c>
      <c r="L6" s="6">
        <f t="shared" si="7"/>
        <v>4183.333333333333</v>
      </c>
      <c r="M6" s="5">
        <f t="shared" si="8"/>
        <v>6482.6831117233769</v>
      </c>
      <c r="N6" s="5">
        <f>A6-M6</f>
        <v>495517.3168882766</v>
      </c>
    </row>
    <row r="7" spans="1:14">
      <c r="A7" s="7">
        <f t="shared" si="9"/>
        <v>502500</v>
      </c>
      <c r="B7" s="6">
        <v>10</v>
      </c>
      <c r="C7" s="6">
        <v>5</v>
      </c>
      <c r="D7" s="7">
        <f t="shared" si="0"/>
        <v>8.3333333333333332E-3</v>
      </c>
      <c r="E7" s="7">
        <f t="shared" si="1"/>
        <v>60</v>
      </c>
      <c r="F7" s="8">
        <f t="shared" si="2"/>
        <v>10676.639967412346</v>
      </c>
      <c r="G7" s="9">
        <f t="shared" si="3"/>
        <v>640598.39804474078</v>
      </c>
      <c r="H7" s="9">
        <f t="shared" si="4"/>
        <v>138098.39804474078</v>
      </c>
      <c r="I7" s="7">
        <f t="shared" si="5"/>
        <v>502500</v>
      </c>
      <c r="J7" s="7">
        <f t="shared" si="10"/>
        <v>6</v>
      </c>
      <c r="K7" s="5">
        <f t="shared" si="6"/>
        <v>10676.639967412346</v>
      </c>
      <c r="L7" s="6">
        <f t="shared" si="7"/>
        <v>4187.5</v>
      </c>
      <c r="M7" s="5">
        <f t="shared" si="8"/>
        <v>6489.1399674123459</v>
      </c>
      <c r="N7" s="5">
        <f>A7-M7</f>
        <v>496010.86003258766</v>
      </c>
    </row>
    <row r="8" spans="1:14">
      <c r="A8" s="7">
        <f t="shared" si="9"/>
        <v>503000</v>
      </c>
      <c r="B8" s="6">
        <v>10</v>
      </c>
      <c r="C8" s="6">
        <v>5</v>
      </c>
      <c r="D8" s="7">
        <f t="shared" si="0"/>
        <v>8.3333333333333332E-3</v>
      </c>
      <c r="E8" s="7">
        <f t="shared" si="1"/>
        <v>60</v>
      </c>
      <c r="F8" s="8">
        <f t="shared" si="2"/>
        <v>10687.263489767978</v>
      </c>
      <c r="G8" s="9">
        <f t="shared" si="3"/>
        <v>641235.80938607873</v>
      </c>
      <c r="H8" s="9">
        <f t="shared" si="4"/>
        <v>138235.80938607873</v>
      </c>
      <c r="I8" s="7">
        <f t="shared" si="5"/>
        <v>503000</v>
      </c>
      <c r="J8" s="7">
        <f t="shared" si="10"/>
        <v>7</v>
      </c>
      <c r="K8" s="5">
        <f t="shared" si="6"/>
        <v>10687.263489767978</v>
      </c>
      <c r="L8" s="6">
        <f t="shared" si="7"/>
        <v>4191.666666666667</v>
      </c>
      <c r="M8" s="5">
        <f t="shared" si="8"/>
        <v>6495.5968231013112</v>
      </c>
      <c r="N8" s="5">
        <f>A8-M8</f>
        <v>496504.40317689866</v>
      </c>
    </row>
    <row r="9" spans="1:14">
      <c r="A9" s="7">
        <f t="shared" si="9"/>
        <v>503500</v>
      </c>
      <c r="B9" s="6">
        <v>10</v>
      </c>
      <c r="C9" s="6">
        <v>5</v>
      </c>
      <c r="D9" s="7">
        <f t="shared" si="0"/>
        <v>8.3333333333333332E-3</v>
      </c>
      <c r="E9" s="7">
        <f t="shared" si="1"/>
        <v>60</v>
      </c>
      <c r="F9" s="8">
        <f t="shared" si="2"/>
        <v>10697.887012123614</v>
      </c>
      <c r="G9" s="9">
        <f t="shared" si="3"/>
        <v>641873.2207274168</v>
      </c>
      <c r="H9" s="9">
        <f t="shared" si="4"/>
        <v>138373.2207274168</v>
      </c>
      <c r="I9" s="7">
        <f t="shared" si="5"/>
        <v>503500</v>
      </c>
      <c r="J9" s="7">
        <f t="shared" si="10"/>
        <v>8</v>
      </c>
      <c r="K9" s="5">
        <f t="shared" si="6"/>
        <v>10697.887012123614</v>
      </c>
      <c r="L9" s="6">
        <f t="shared" si="7"/>
        <v>4195.833333333333</v>
      </c>
      <c r="M9" s="5">
        <f t="shared" si="8"/>
        <v>6502.0536787902811</v>
      </c>
      <c r="N9" s="5">
        <f>A9-M9</f>
        <v>496997.94632120972</v>
      </c>
    </row>
    <row r="10" spans="1:14">
      <c r="A10" s="7">
        <f t="shared" si="9"/>
        <v>504000</v>
      </c>
      <c r="B10" s="6">
        <v>10</v>
      </c>
      <c r="C10" s="6">
        <v>5</v>
      </c>
      <c r="D10" s="7">
        <f t="shared" si="0"/>
        <v>8.3333333333333332E-3</v>
      </c>
      <c r="E10" s="7">
        <f t="shared" si="1"/>
        <v>60</v>
      </c>
      <c r="F10" s="8">
        <f t="shared" si="2"/>
        <v>10708.510534479246</v>
      </c>
      <c r="G10" s="9">
        <f t="shared" si="3"/>
        <v>642510.63206875476</v>
      </c>
      <c r="H10" s="9">
        <f t="shared" si="4"/>
        <v>138510.63206875476</v>
      </c>
      <c r="I10" s="7">
        <f t="shared" si="5"/>
        <v>504000</v>
      </c>
      <c r="J10" s="7">
        <f t="shared" si="10"/>
        <v>9</v>
      </c>
      <c r="K10" s="5">
        <f t="shared" si="6"/>
        <v>10708.510534479246</v>
      </c>
      <c r="L10" s="6">
        <f t="shared" si="7"/>
        <v>4200</v>
      </c>
      <c r="M10" s="5">
        <f t="shared" si="8"/>
        <v>6508.5105344792464</v>
      </c>
      <c r="N10" s="5">
        <f>A10-M10</f>
        <v>497491.48946552078</v>
      </c>
    </row>
    <row r="11" spans="1:14">
      <c r="A11" s="7">
        <f t="shared" si="9"/>
        <v>504500</v>
      </c>
      <c r="B11" s="6">
        <v>10</v>
      </c>
      <c r="C11" s="6">
        <v>5</v>
      </c>
      <c r="D11" s="7">
        <f t="shared" si="0"/>
        <v>8.3333333333333332E-3</v>
      </c>
      <c r="E11" s="7">
        <f t="shared" si="1"/>
        <v>60</v>
      </c>
      <c r="F11" s="8">
        <f t="shared" si="2"/>
        <v>10719.134056834881</v>
      </c>
      <c r="G11" s="9">
        <f t="shared" si="3"/>
        <v>643148.04341009283</v>
      </c>
      <c r="H11" s="9">
        <f t="shared" si="4"/>
        <v>138648.04341009283</v>
      </c>
      <c r="I11" s="7">
        <f t="shared" si="5"/>
        <v>504500</v>
      </c>
      <c r="J11" s="7">
        <f t="shared" si="10"/>
        <v>10</v>
      </c>
      <c r="K11" s="5">
        <f t="shared" si="6"/>
        <v>10719.134056834881</v>
      </c>
      <c r="L11" s="6">
        <f t="shared" si="7"/>
        <v>4204.166666666667</v>
      </c>
      <c r="M11" s="5">
        <f t="shared" si="8"/>
        <v>6514.9673901682136</v>
      </c>
      <c r="N11" s="5">
        <f>A11-M11</f>
        <v>497985.03260983177</v>
      </c>
    </row>
    <row r="12" spans="1:14">
      <c r="A12" s="7">
        <f t="shared" si="9"/>
        <v>505000</v>
      </c>
      <c r="B12" s="6">
        <v>10</v>
      </c>
      <c r="C12" s="6">
        <v>5</v>
      </c>
      <c r="D12" s="7">
        <f t="shared" si="0"/>
        <v>8.3333333333333332E-3</v>
      </c>
      <c r="E12" s="7">
        <f t="shared" si="1"/>
        <v>60</v>
      </c>
      <c r="F12" s="8">
        <f t="shared" si="2"/>
        <v>10729.757579190516</v>
      </c>
      <c r="G12" s="9">
        <f t="shared" si="3"/>
        <v>643785.45475143101</v>
      </c>
      <c r="H12" s="9">
        <f t="shared" si="4"/>
        <v>138785.45475143101</v>
      </c>
      <c r="I12" s="7">
        <f t="shared" si="5"/>
        <v>505000</v>
      </c>
      <c r="J12" s="7">
        <f t="shared" si="10"/>
        <v>11</v>
      </c>
      <c r="K12" s="5">
        <f t="shared" si="6"/>
        <v>10729.757579190516</v>
      </c>
      <c r="L12" s="6">
        <f t="shared" si="7"/>
        <v>4208.333333333333</v>
      </c>
      <c r="M12" s="5">
        <f t="shared" si="8"/>
        <v>6521.4242458571835</v>
      </c>
      <c r="N12" s="5">
        <f>A12-M12</f>
        <v>498478.57575414283</v>
      </c>
    </row>
    <row r="13" spans="1:14">
      <c r="A13" s="7">
        <f t="shared" si="9"/>
        <v>505500</v>
      </c>
      <c r="B13" s="6">
        <v>10</v>
      </c>
      <c r="C13" s="6">
        <v>5</v>
      </c>
      <c r="D13" s="7">
        <f t="shared" si="0"/>
        <v>8.3333333333333332E-3</v>
      </c>
      <c r="E13" s="7">
        <f t="shared" si="1"/>
        <v>60</v>
      </c>
      <c r="F13" s="8">
        <f t="shared" si="2"/>
        <v>10740.381101546149</v>
      </c>
      <c r="G13" s="9">
        <f t="shared" si="3"/>
        <v>644422.86609276896</v>
      </c>
      <c r="H13" s="9">
        <f t="shared" si="4"/>
        <v>138922.86609276896</v>
      </c>
      <c r="I13" s="7">
        <f t="shared" si="5"/>
        <v>505500</v>
      </c>
      <c r="J13" s="7">
        <f t="shared" si="10"/>
        <v>12</v>
      </c>
      <c r="K13" s="5">
        <f t="shared" si="6"/>
        <v>10740.381101546149</v>
      </c>
      <c r="L13" s="6">
        <f t="shared" si="7"/>
        <v>4212.5</v>
      </c>
      <c r="M13" s="5">
        <f t="shared" si="8"/>
        <v>6527.8811015461488</v>
      </c>
      <c r="N13" s="5">
        <f>A13-M13</f>
        <v>498972.11889845383</v>
      </c>
    </row>
    <row r="14" spans="1:14">
      <c r="A14" s="7">
        <f t="shared" si="9"/>
        <v>506000</v>
      </c>
      <c r="B14" s="6">
        <v>10</v>
      </c>
      <c r="C14" s="6">
        <v>5</v>
      </c>
      <c r="D14" s="7">
        <f t="shared" si="0"/>
        <v>8.3333333333333332E-3</v>
      </c>
      <c r="E14" s="7">
        <f t="shared" si="1"/>
        <v>60</v>
      </c>
      <c r="F14" s="8">
        <f t="shared" si="2"/>
        <v>10751.004623901785</v>
      </c>
      <c r="G14" s="9">
        <f t="shared" si="3"/>
        <v>645060.27743410703</v>
      </c>
      <c r="H14" s="9">
        <f t="shared" si="4"/>
        <v>139060.27743410703</v>
      </c>
      <c r="I14" s="7">
        <f t="shared" si="5"/>
        <v>506000</v>
      </c>
      <c r="J14" s="7">
        <f t="shared" si="10"/>
        <v>13</v>
      </c>
      <c r="K14" s="5">
        <f t="shared" si="6"/>
        <v>10751.004623901785</v>
      </c>
      <c r="L14" s="6">
        <f t="shared" si="7"/>
        <v>4216.666666666667</v>
      </c>
      <c r="M14" s="5">
        <f t="shared" si="8"/>
        <v>6534.3379572351178</v>
      </c>
      <c r="N14" s="5">
        <f>A14-M14</f>
        <v>499465.66204276489</v>
      </c>
    </row>
    <row r="15" spans="1:14">
      <c r="A15" s="7">
        <f t="shared" si="9"/>
        <v>506500</v>
      </c>
      <c r="B15" s="6">
        <v>10</v>
      </c>
      <c r="C15" s="6">
        <v>5</v>
      </c>
      <c r="D15" s="7">
        <f t="shared" si="0"/>
        <v>8.3333333333333332E-3</v>
      </c>
      <c r="E15" s="7">
        <f t="shared" si="1"/>
        <v>60</v>
      </c>
      <c r="F15" s="8">
        <f t="shared" si="2"/>
        <v>10761.628146257419</v>
      </c>
      <c r="G15" s="9">
        <f t="shared" si="3"/>
        <v>645697.6887754451</v>
      </c>
      <c r="H15" s="9">
        <f t="shared" si="4"/>
        <v>139197.6887754451</v>
      </c>
      <c r="I15" s="7">
        <f t="shared" si="5"/>
        <v>506500</v>
      </c>
      <c r="J15" s="7">
        <f t="shared" si="10"/>
        <v>14</v>
      </c>
      <c r="K15" s="5">
        <f t="shared" si="6"/>
        <v>10761.628146257419</v>
      </c>
      <c r="L15" s="6">
        <f t="shared" si="7"/>
        <v>4220.833333333333</v>
      </c>
      <c r="M15" s="5">
        <f t="shared" si="8"/>
        <v>6540.7948129240858</v>
      </c>
      <c r="N15" s="5">
        <f>A15-M15</f>
        <v>499959.20518707589</v>
      </c>
    </row>
    <row r="16" spans="1:14">
      <c r="A16" s="7">
        <f t="shared" si="9"/>
        <v>507000</v>
      </c>
      <c r="B16" s="6">
        <v>10</v>
      </c>
      <c r="C16" s="6">
        <v>5</v>
      </c>
      <c r="D16" s="7">
        <f t="shared" si="0"/>
        <v>8.3333333333333332E-3</v>
      </c>
      <c r="E16" s="7">
        <f t="shared" si="1"/>
        <v>60</v>
      </c>
      <c r="F16" s="8">
        <f t="shared" si="2"/>
        <v>10772.251668613051</v>
      </c>
      <c r="G16" s="9">
        <f t="shared" si="3"/>
        <v>646335.10011678305</v>
      </c>
      <c r="H16" s="9">
        <f t="shared" si="4"/>
        <v>139335.10011678305</v>
      </c>
      <c r="I16" s="7">
        <f t="shared" si="5"/>
        <v>507000</v>
      </c>
      <c r="J16" s="7">
        <f t="shared" si="10"/>
        <v>15</v>
      </c>
      <c r="K16" s="5">
        <f t="shared" si="6"/>
        <v>10772.251668613051</v>
      </c>
      <c r="L16" s="6">
        <f t="shared" si="7"/>
        <v>4225</v>
      </c>
      <c r="M16" s="5">
        <f t="shared" si="8"/>
        <v>6547.2516686130512</v>
      </c>
      <c r="N16" s="5">
        <f>A16-M16</f>
        <v>500452.74833138695</v>
      </c>
    </row>
    <row r="17" spans="1:14">
      <c r="A17" s="7">
        <f t="shared" si="9"/>
        <v>507500</v>
      </c>
      <c r="B17" s="6">
        <v>10</v>
      </c>
      <c r="C17" s="6">
        <v>5</v>
      </c>
      <c r="D17" s="7">
        <f t="shared" si="0"/>
        <v>8.3333333333333332E-3</v>
      </c>
      <c r="E17" s="7">
        <f t="shared" si="1"/>
        <v>60</v>
      </c>
      <c r="F17" s="8">
        <f t="shared" si="2"/>
        <v>10782.875190968687</v>
      </c>
      <c r="G17" s="9">
        <f t="shared" si="3"/>
        <v>646972.51145812124</v>
      </c>
      <c r="H17" s="9">
        <f t="shared" si="4"/>
        <v>139472.51145812124</v>
      </c>
      <c r="I17" s="7">
        <f t="shared" si="5"/>
        <v>507500</v>
      </c>
      <c r="J17" s="7">
        <f t="shared" si="10"/>
        <v>16</v>
      </c>
      <c r="K17" s="5">
        <f t="shared" si="6"/>
        <v>10782.875190968687</v>
      </c>
      <c r="L17" s="6">
        <f t="shared" si="7"/>
        <v>4229.166666666667</v>
      </c>
      <c r="M17" s="5">
        <f t="shared" si="8"/>
        <v>6553.7085243020201</v>
      </c>
      <c r="N17" s="5">
        <f>A17-M17</f>
        <v>500946.291475698</v>
      </c>
    </row>
    <row r="18" spans="1:14">
      <c r="A18" s="7">
        <f t="shared" si="9"/>
        <v>508000</v>
      </c>
      <c r="B18" s="6">
        <v>10</v>
      </c>
      <c r="C18" s="6">
        <v>5</v>
      </c>
      <c r="D18" s="7">
        <f t="shared" si="0"/>
        <v>8.3333333333333332E-3</v>
      </c>
      <c r="E18" s="7">
        <f t="shared" si="1"/>
        <v>60</v>
      </c>
      <c r="F18" s="8">
        <f t="shared" si="2"/>
        <v>10793.498713324319</v>
      </c>
      <c r="G18" s="9">
        <f t="shared" si="3"/>
        <v>647609.92279945919</v>
      </c>
      <c r="H18" s="9">
        <f t="shared" si="4"/>
        <v>139609.92279945919</v>
      </c>
      <c r="I18" s="7">
        <f t="shared" si="5"/>
        <v>508000</v>
      </c>
      <c r="J18" s="7">
        <f t="shared" si="10"/>
        <v>17</v>
      </c>
      <c r="K18" s="5">
        <f t="shared" si="6"/>
        <v>10793.498713324319</v>
      </c>
      <c r="L18" s="6">
        <f t="shared" si="7"/>
        <v>4233.333333333333</v>
      </c>
      <c r="M18" s="5">
        <f t="shared" si="8"/>
        <v>6560.1653799909864</v>
      </c>
      <c r="N18" s="5">
        <f>A18-M18</f>
        <v>501439.834620009</v>
      </c>
    </row>
    <row r="19" spans="1:14">
      <c r="A19" s="7">
        <f t="shared" si="9"/>
        <v>508500</v>
      </c>
      <c r="B19" s="6">
        <v>10</v>
      </c>
      <c r="C19" s="6">
        <v>5</v>
      </c>
      <c r="D19" s="7">
        <f t="shared" si="0"/>
        <v>8.3333333333333332E-3</v>
      </c>
      <c r="E19" s="7">
        <f t="shared" si="1"/>
        <v>60</v>
      </c>
      <c r="F19" s="8">
        <f t="shared" si="2"/>
        <v>10804.122235679955</v>
      </c>
      <c r="G19" s="9">
        <f t="shared" si="3"/>
        <v>648247.33414079738</v>
      </c>
      <c r="H19" s="9">
        <f t="shared" si="4"/>
        <v>139747.33414079738</v>
      </c>
      <c r="I19" s="7">
        <f t="shared" si="5"/>
        <v>508500</v>
      </c>
      <c r="J19" s="7">
        <f t="shared" si="10"/>
        <v>18</v>
      </c>
      <c r="K19" s="5">
        <f t="shared" si="6"/>
        <v>10804.122235679955</v>
      </c>
      <c r="L19" s="6">
        <f t="shared" si="7"/>
        <v>4237.5</v>
      </c>
      <c r="M19" s="5">
        <f t="shared" si="8"/>
        <v>6566.6222356799553</v>
      </c>
      <c r="N19" s="5">
        <f>A19-M19</f>
        <v>501933.37776432006</v>
      </c>
    </row>
    <row r="20" spans="1:14">
      <c r="A20" s="7">
        <f t="shared" si="9"/>
        <v>509000</v>
      </c>
      <c r="B20" s="6">
        <v>10</v>
      </c>
      <c r="C20" s="6">
        <v>5</v>
      </c>
      <c r="D20" s="7">
        <f t="shared" si="0"/>
        <v>8.3333333333333332E-3</v>
      </c>
      <c r="E20" s="7">
        <f t="shared" si="1"/>
        <v>60</v>
      </c>
      <c r="F20" s="8">
        <f t="shared" si="2"/>
        <v>10814.745758035589</v>
      </c>
      <c r="G20" s="9">
        <f t="shared" si="3"/>
        <v>648884.74548213533</v>
      </c>
      <c r="H20" s="9">
        <f t="shared" si="4"/>
        <v>139884.74548213533</v>
      </c>
      <c r="I20" s="7">
        <f t="shared" si="5"/>
        <v>509000</v>
      </c>
      <c r="J20" s="7">
        <f t="shared" si="10"/>
        <v>19</v>
      </c>
      <c r="K20" s="5">
        <f t="shared" si="6"/>
        <v>10814.745758035589</v>
      </c>
      <c r="L20" s="6">
        <f t="shared" si="7"/>
        <v>4241.666666666667</v>
      </c>
      <c r="M20" s="5">
        <f t="shared" si="8"/>
        <v>6573.0790913689225</v>
      </c>
      <c r="N20" s="5">
        <f>A20-M20</f>
        <v>502426.92090863106</v>
      </c>
    </row>
    <row r="21" spans="1:14">
      <c r="A21" s="7">
        <f t="shared" si="9"/>
        <v>509500</v>
      </c>
      <c r="B21" s="6">
        <v>10</v>
      </c>
      <c r="C21" s="6">
        <v>5</v>
      </c>
      <c r="D21" s="7">
        <f t="shared" si="0"/>
        <v>8.3333333333333332E-3</v>
      </c>
      <c r="E21" s="7">
        <f t="shared" si="1"/>
        <v>60</v>
      </c>
      <c r="F21" s="8">
        <f t="shared" si="2"/>
        <v>10825.369280391224</v>
      </c>
      <c r="G21" s="9">
        <f t="shared" si="3"/>
        <v>649522.1568234734</v>
      </c>
      <c r="H21" s="9">
        <f t="shared" si="4"/>
        <v>140022.1568234734</v>
      </c>
      <c r="I21" s="7">
        <f t="shared" si="5"/>
        <v>509500</v>
      </c>
      <c r="J21" s="7">
        <f t="shared" si="10"/>
        <v>20</v>
      </c>
      <c r="K21" s="5">
        <f t="shared" si="6"/>
        <v>10825.369280391224</v>
      </c>
      <c r="L21" s="6">
        <f t="shared" si="7"/>
        <v>4245.833333333333</v>
      </c>
      <c r="M21" s="5">
        <f t="shared" si="8"/>
        <v>6579.5359470578906</v>
      </c>
      <c r="N21" s="5">
        <f>A21-M21</f>
        <v>502920.46405294212</v>
      </c>
    </row>
    <row r="22" spans="1:14">
      <c r="A22" s="7">
        <f t="shared" si="9"/>
        <v>510000</v>
      </c>
      <c r="B22" s="6">
        <v>10</v>
      </c>
      <c r="C22" s="6">
        <v>5</v>
      </c>
      <c r="D22" s="7">
        <f t="shared" si="0"/>
        <v>8.3333333333333332E-3</v>
      </c>
      <c r="E22" s="7">
        <f t="shared" si="1"/>
        <v>60</v>
      </c>
      <c r="F22" s="8">
        <f t="shared" si="2"/>
        <v>10835.992802746858</v>
      </c>
      <c r="G22" s="9">
        <f t="shared" si="3"/>
        <v>650159.56816481147</v>
      </c>
      <c r="H22" s="9">
        <f t="shared" si="4"/>
        <v>140159.56816481147</v>
      </c>
      <c r="I22" s="7">
        <f t="shared" si="5"/>
        <v>510000</v>
      </c>
      <c r="J22" s="7">
        <f t="shared" si="10"/>
        <v>21</v>
      </c>
      <c r="K22" s="5">
        <f t="shared" si="6"/>
        <v>10835.992802746858</v>
      </c>
      <c r="L22" s="6">
        <f t="shared" si="7"/>
        <v>4250</v>
      </c>
      <c r="M22" s="5">
        <f t="shared" si="8"/>
        <v>6585.9928027468577</v>
      </c>
      <c r="N22" s="5">
        <f>A22-M22</f>
        <v>503414.00719725312</v>
      </c>
    </row>
    <row r="23" spans="1:14">
      <c r="A23" s="7">
        <f t="shared" si="9"/>
        <v>510500</v>
      </c>
      <c r="B23" s="6">
        <v>10</v>
      </c>
      <c r="C23" s="6">
        <v>5</v>
      </c>
      <c r="D23" s="7">
        <f t="shared" si="0"/>
        <v>8.3333333333333332E-3</v>
      </c>
      <c r="E23" s="7">
        <f t="shared" si="1"/>
        <v>60</v>
      </c>
      <c r="F23" s="8">
        <f t="shared" si="2"/>
        <v>10846.616325102492</v>
      </c>
      <c r="G23" s="9">
        <f t="shared" si="3"/>
        <v>650796.97950614954</v>
      </c>
      <c r="H23" s="9">
        <f t="shared" si="4"/>
        <v>140296.97950614954</v>
      </c>
      <c r="I23" s="7">
        <f t="shared" si="5"/>
        <v>510500</v>
      </c>
      <c r="J23" s="7">
        <f t="shared" si="10"/>
        <v>22</v>
      </c>
      <c r="K23" s="5">
        <f t="shared" si="6"/>
        <v>10846.616325102492</v>
      </c>
      <c r="L23" s="6">
        <f t="shared" si="7"/>
        <v>4254.166666666667</v>
      </c>
      <c r="M23" s="5">
        <f t="shared" si="8"/>
        <v>6592.4496584358249</v>
      </c>
      <c r="N23" s="5">
        <f>A23-M23</f>
        <v>503907.55034156417</v>
      </c>
    </row>
    <row r="24" spans="1:14">
      <c r="A24" s="7">
        <f t="shared" si="9"/>
        <v>511000</v>
      </c>
      <c r="B24" s="6">
        <v>10</v>
      </c>
      <c r="C24" s="6">
        <v>5</v>
      </c>
      <c r="D24" s="7">
        <f t="shared" si="0"/>
        <v>8.3333333333333332E-3</v>
      </c>
      <c r="E24" s="7">
        <f t="shared" si="1"/>
        <v>60</v>
      </c>
      <c r="F24" s="8">
        <f t="shared" si="2"/>
        <v>10857.239847458126</v>
      </c>
      <c r="G24" s="9">
        <f t="shared" si="3"/>
        <v>651434.39084748761</v>
      </c>
      <c r="H24" s="9">
        <f t="shared" si="4"/>
        <v>140434.39084748761</v>
      </c>
      <c r="I24" s="7">
        <f t="shared" si="5"/>
        <v>511000</v>
      </c>
      <c r="J24" s="7">
        <f t="shared" si="10"/>
        <v>23</v>
      </c>
      <c r="K24" s="5">
        <f t="shared" si="6"/>
        <v>10857.239847458126</v>
      </c>
      <c r="L24" s="6">
        <f t="shared" si="7"/>
        <v>4258.333333333333</v>
      </c>
      <c r="M24" s="5">
        <f t="shared" si="8"/>
        <v>6598.9065141247929</v>
      </c>
      <c r="N24" s="5">
        <f>A24-M24</f>
        <v>504401.09348587523</v>
      </c>
    </row>
    <row r="25" spans="1:14">
      <c r="A25" s="7">
        <f t="shared" si="9"/>
        <v>511500</v>
      </c>
      <c r="B25" s="6">
        <v>10</v>
      </c>
      <c r="C25" s="6">
        <v>5</v>
      </c>
      <c r="D25" s="7">
        <f t="shared" si="0"/>
        <v>8.3333333333333332E-3</v>
      </c>
      <c r="E25" s="7">
        <f t="shared" si="1"/>
        <v>60</v>
      </c>
      <c r="F25" s="8">
        <f t="shared" si="2"/>
        <v>10867.86336981376</v>
      </c>
      <c r="G25" s="9">
        <f t="shared" si="3"/>
        <v>652071.80218882556</v>
      </c>
      <c r="H25" s="9">
        <f t="shared" si="4"/>
        <v>140571.80218882556</v>
      </c>
      <c r="I25" s="7">
        <f t="shared" si="5"/>
        <v>511500</v>
      </c>
      <c r="J25" s="7">
        <f t="shared" si="10"/>
        <v>24</v>
      </c>
      <c r="K25" s="5">
        <f t="shared" si="6"/>
        <v>10867.86336981376</v>
      </c>
      <c r="L25" s="6">
        <f t="shared" si="7"/>
        <v>4262.5</v>
      </c>
      <c r="M25" s="5">
        <f t="shared" si="8"/>
        <v>6605.3633698137601</v>
      </c>
      <c r="N25" s="5">
        <f>A25-M25</f>
        <v>504894.63663018623</v>
      </c>
    </row>
    <row r="26" spans="1:14">
      <c r="A26" s="7">
        <f t="shared" si="9"/>
        <v>512000</v>
      </c>
      <c r="B26" s="6">
        <v>10</v>
      </c>
      <c r="C26" s="6">
        <v>5</v>
      </c>
      <c r="D26" s="7">
        <f t="shared" si="0"/>
        <v>8.3333333333333332E-3</v>
      </c>
      <c r="E26" s="7">
        <f t="shared" si="1"/>
        <v>60</v>
      </c>
      <c r="F26" s="8">
        <f t="shared" si="2"/>
        <v>10878.486892169394</v>
      </c>
      <c r="G26" s="9">
        <f t="shared" si="3"/>
        <v>652709.21353016363</v>
      </c>
      <c r="H26" s="9">
        <f t="shared" si="4"/>
        <v>140709.21353016363</v>
      </c>
      <c r="I26" s="7">
        <f t="shared" si="5"/>
        <v>512000</v>
      </c>
      <c r="J26" s="7">
        <f t="shared" si="10"/>
        <v>25</v>
      </c>
      <c r="K26" s="5">
        <f t="shared" si="6"/>
        <v>10878.486892169394</v>
      </c>
      <c r="L26" s="6">
        <f t="shared" si="7"/>
        <v>4266.666666666667</v>
      </c>
      <c r="M26" s="5">
        <f t="shared" si="8"/>
        <v>6611.8202255027272</v>
      </c>
      <c r="N26" s="5">
        <f>A26-M26</f>
        <v>505388.17977449729</v>
      </c>
    </row>
    <row r="27" spans="1:14">
      <c r="A27" s="7">
        <f t="shared" si="9"/>
        <v>512500</v>
      </c>
      <c r="B27" s="6">
        <v>10</v>
      </c>
      <c r="C27" s="6">
        <v>5</v>
      </c>
      <c r="D27" s="7">
        <f t="shared" si="0"/>
        <v>8.3333333333333332E-3</v>
      </c>
      <c r="E27" s="7">
        <f t="shared" si="1"/>
        <v>60</v>
      </c>
      <c r="F27" s="8">
        <f t="shared" si="2"/>
        <v>10889.110414525028</v>
      </c>
      <c r="G27" s="9">
        <f t="shared" si="3"/>
        <v>653346.6248715017</v>
      </c>
      <c r="H27" s="9">
        <f t="shared" si="4"/>
        <v>140846.6248715017</v>
      </c>
      <c r="I27" s="7">
        <f t="shared" si="5"/>
        <v>512500</v>
      </c>
      <c r="J27" s="7">
        <f t="shared" si="10"/>
        <v>26</v>
      </c>
      <c r="K27" s="5">
        <f t="shared" si="6"/>
        <v>10889.110414525028</v>
      </c>
      <c r="L27" s="6">
        <f t="shared" si="7"/>
        <v>4270.833333333333</v>
      </c>
      <c r="M27" s="5">
        <f t="shared" si="8"/>
        <v>6618.2770811916953</v>
      </c>
      <c r="N27" s="5">
        <f>A27-M27</f>
        <v>505881.72291880829</v>
      </c>
    </row>
    <row r="28" spans="1:14">
      <c r="A28" s="7">
        <f t="shared" si="9"/>
        <v>513000</v>
      </c>
      <c r="B28" s="6">
        <v>10</v>
      </c>
      <c r="C28" s="6">
        <v>5</v>
      </c>
      <c r="D28" s="7">
        <f t="shared" si="0"/>
        <v>8.3333333333333332E-3</v>
      </c>
      <c r="E28" s="7">
        <f t="shared" si="1"/>
        <v>60</v>
      </c>
      <c r="F28" s="8">
        <f t="shared" si="2"/>
        <v>10899.733936880662</v>
      </c>
      <c r="G28" s="9">
        <f t="shared" si="3"/>
        <v>653984.03621283977</v>
      </c>
      <c r="H28" s="9">
        <f t="shared" si="4"/>
        <v>140984.03621283977</v>
      </c>
      <c r="I28" s="7">
        <f t="shared" si="5"/>
        <v>513000</v>
      </c>
      <c r="J28" s="7">
        <f t="shared" si="10"/>
        <v>27</v>
      </c>
      <c r="K28" s="5">
        <f t="shared" si="6"/>
        <v>10899.733936880662</v>
      </c>
      <c r="L28" s="6">
        <f t="shared" si="7"/>
        <v>4275</v>
      </c>
      <c r="M28" s="5">
        <f t="shared" si="8"/>
        <v>6624.7339368806624</v>
      </c>
      <c r="N28" s="5">
        <f>A28-M28</f>
        <v>506375.26606311934</v>
      </c>
    </row>
    <row r="29" spans="1:14">
      <c r="A29" s="7">
        <f t="shared" si="9"/>
        <v>513500</v>
      </c>
      <c r="B29" s="6">
        <v>10</v>
      </c>
      <c r="C29" s="6">
        <v>5</v>
      </c>
      <c r="D29" s="7">
        <f t="shared" si="0"/>
        <v>8.3333333333333332E-3</v>
      </c>
      <c r="E29" s="7">
        <f t="shared" si="1"/>
        <v>60</v>
      </c>
      <c r="F29" s="8">
        <f t="shared" si="2"/>
        <v>10910.357459236297</v>
      </c>
      <c r="G29" s="9">
        <f t="shared" si="3"/>
        <v>654621.44755417784</v>
      </c>
      <c r="H29" s="9">
        <f t="shared" si="4"/>
        <v>141121.44755417784</v>
      </c>
      <c r="I29" s="7">
        <f t="shared" si="5"/>
        <v>513500</v>
      </c>
      <c r="J29" s="7">
        <f t="shared" si="10"/>
        <v>28</v>
      </c>
      <c r="K29" s="5">
        <f t="shared" si="6"/>
        <v>10910.357459236297</v>
      </c>
      <c r="L29" s="6">
        <f t="shared" si="7"/>
        <v>4279.166666666667</v>
      </c>
      <c r="M29" s="5">
        <f t="shared" si="8"/>
        <v>6631.1907925696296</v>
      </c>
      <c r="N29" s="5">
        <f>A29-M29</f>
        <v>506868.80920743034</v>
      </c>
    </row>
    <row r="30" spans="1:14">
      <c r="A30" s="7">
        <f t="shared" si="9"/>
        <v>514000</v>
      </c>
      <c r="B30" s="6">
        <v>10</v>
      </c>
      <c r="C30" s="6">
        <v>5</v>
      </c>
      <c r="D30" s="7">
        <f t="shared" si="0"/>
        <v>8.3333333333333332E-3</v>
      </c>
      <c r="E30" s="7">
        <f t="shared" si="1"/>
        <v>60</v>
      </c>
      <c r="F30" s="8">
        <f t="shared" si="2"/>
        <v>10920.980981591931</v>
      </c>
      <c r="G30" s="9">
        <f t="shared" si="3"/>
        <v>655258.85889551579</v>
      </c>
      <c r="H30" s="9">
        <f t="shared" si="4"/>
        <v>141258.85889551579</v>
      </c>
      <c r="I30" s="7">
        <f t="shared" si="5"/>
        <v>514000</v>
      </c>
      <c r="J30" s="7">
        <f t="shared" si="10"/>
        <v>29</v>
      </c>
      <c r="K30" s="5">
        <f t="shared" si="6"/>
        <v>10920.980981591931</v>
      </c>
      <c r="L30" s="6">
        <f t="shared" si="7"/>
        <v>4283.333333333333</v>
      </c>
      <c r="M30" s="5">
        <f t="shared" si="8"/>
        <v>6637.6476482585977</v>
      </c>
      <c r="N30" s="5">
        <f>A30-M30</f>
        <v>507362.3523517414</v>
      </c>
    </row>
    <row r="31" spans="1:14">
      <c r="A31" s="7">
        <f t="shared" si="9"/>
        <v>514500</v>
      </c>
      <c r="B31" s="6">
        <v>10</v>
      </c>
      <c r="C31" s="6">
        <v>5</v>
      </c>
      <c r="D31" s="7">
        <f t="shared" si="0"/>
        <v>8.3333333333333332E-3</v>
      </c>
      <c r="E31" s="7">
        <f t="shared" si="1"/>
        <v>60</v>
      </c>
      <c r="F31" s="8">
        <f t="shared" si="2"/>
        <v>10931.604503947565</v>
      </c>
      <c r="G31" s="9">
        <f t="shared" si="3"/>
        <v>655896.27023685386</v>
      </c>
      <c r="H31" s="9">
        <f t="shared" si="4"/>
        <v>141396.27023685386</v>
      </c>
      <c r="I31" s="7">
        <f t="shared" si="5"/>
        <v>514500</v>
      </c>
      <c r="J31" s="7">
        <f t="shared" si="10"/>
        <v>30</v>
      </c>
      <c r="K31" s="5">
        <f t="shared" si="6"/>
        <v>10931.604503947565</v>
      </c>
      <c r="L31" s="6">
        <f t="shared" si="7"/>
        <v>4287.5</v>
      </c>
      <c r="M31" s="5">
        <f t="shared" si="8"/>
        <v>6644.1045039475648</v>
      </c>
      <c r="N31" s="5">
        <f>A31-M31</f>
        <v>507855.89549605246</v>
      </c>
    </row>
    <row r="32" spans="1:14">
      <c r="A32" s="7">
        <f t="shared" si="9"/>
        <v>515000</v>
      </c>
      <c r="B32" s="6">
        <v>10</v>
      </c>
      <c r="C32" s="6">
        <v>5</v>
      </c>
      <c r="D32" s="7">
        <f t="shared" si="0"/>
        <v>8.3333333333333332E-3</v>
      </c>
      <c r="E32" s="7">
        <f t="shared" si="1"/>
        <v>60</v>
      </c>
      <c r="F32" s="8">
        <f t="shared" si="2"/>
        <v>10942.228026303199</v>
      </c>
      <c r="G32" s="9">
        <f t="shared" si="3"/>
        <v>656533.68157819193</v>
      </c>
      <c r="H32" s="9">
        <f t="shared" si="4"/>
        <v>141533.68157819193</v>
      </c>
      <c r="I32" s="7">
        <f t="shared" si="5"/>
        <v>515000</v>
      </c>
      <c r="J32" s="7">
        <f t="shared" si="10"/>
        <v>31</v>
      </c>
      <c r="K32" s="5">
        <f t="shared" si="6"/>
        <v>10942.228026303199</v>
      </c>
      <c r="L32" s="6">
        <f t="shared" si="7"/>
        <v>4291.666666666667</v>
      </c>
      <c r="M32" s="5">
        <f t="shared" si="8"/>
        <v>6650.561359636532</v>
      </c>
      <c r="N32" s="5">
        <f>A32-M32</f>
        <v>508349.43864036346</v>
      </c>
    </row>
    <row r="33" spans="1:14">
      <c r="A33" s="7">
        <f t="shared" si="9"/>
        <v>515500</v>
      </c>
      <c r="B33" s="6">
        <v>10</v>
      </c>
      <c r="C33" s="6">
        <v>5</v>
      </c>
      <c r="D33" s="7">
        <f t="shared" si="0"/>
        <v>8.3333333333333332E-3</v>
      </c>
      <c r="E33" s="7">
        <f t="shared" si="1"/>
        <v>60</v>
      </c>
      <c r="F33" s="8">
        <f t="shared" si="2"/>
        <v>10952.851548658833</v>
      </c>
      <c r="G33" s="9">
        <f t="shared" si="3"/>
        <v>657171.09291953</v>
      </c>
      <c r="H33" s="9">
        <f t="shared" si="4"/>
        <v>141671.09291953</v>
      </c>
      <c r="I33" s="7">
        <f t="shared" si="5"/>
        <v>515500</v>
      </c>
      <c r="J33" s="7">
        <f t="shared" si="10"/>
        <v>32</v>
      </c>
      <c r="K33" s="5">
        <f t="shared" si="6"/>
        <v>10952.851548658833</v>
      </c>
      <c r="L33" s="6">
        <f t="shared" si="7"/>
        <v>4295.833333333333</v>
      </c>
      <c r="M33" s="5">
        <f t="shared" si="8"/>
        <v>6657.0182153255</v>
      </c>
      <c r="N33" s="5">
        <f>A33-M33</f>
        <v>508842.98178467451</v>
      </c>
    </row>
    <row r="34" spans="1:14">
      <c r="A34" s="7">
        <f t="shared" si="9"/>
        <v>516000</v>
      </c>
      <c r="B34" s="6">
        <v>10</v>
      </c>
      <c r="C34" s="6">
        <v>5</v>
      </c>
      <c r="D34" s="7">
        <f t="shared" si="0"/>
        <v>8.3333333333333332E-3</v>
      </c>
      <c r="E34" s="7">
        <f t="shared" si="1"/>
        <v>60</v>
      </c>
      <c r="F34" s="8">
        <f t="shared" si="2"/>
        <v>10963.475071014467</v>
      </c>
      <c r="G34" s="9">
        <f t="shared" si="3"/>
        <v>657808.50426086807</v>
      </c>
      <c r="H34" s="9">
        <f t="shared" si="4"/>
        <v>141808.50426086807</v>
      </c>
      <c r="I34" s="7">
        <f t="shared" si="5"/>
        <v>516000</v>
      </c>
      <c r="J34" s="7">
        <f t="shared" si="10"/>
        <v>33</v>
      </c>
      <c r="K34" s="5">
        <f t="shared" si="6"/>
        <v>10963.475071014467</v>
      </c>
      <c r="L34" s="6">
        <f t="shared" si="7"/>
        <v>4300</v>
      </c>
      <c r="M34" s="5">
        <f t="shared" si="8"/>
        <v>6663.4750710144672</v>
      </c>
      <c r="N34" s="5">
        <f>A34-M34</f>
        <v>509336.52492898551</v>
      </c>
    </row>
    <row r="35" spans="1:14">
      <c r="A35" s="7">
        <f t="shared" si="9"/>
        <v>516500</v>
      </c>
      <c r="B35" s="6">
        <v>10</v>
      </c>
      <c r="C35" s="6">
        <v>5</v>
      </c>
      <c r="D35" s="7">
        <f t="shared" si="0"/>
        <v>8.3333333333333332E-3</v>
      </c>
      <c r="E35" s="7">
        <f t="shared" si="1"/>
        <v>60</v>
      </c>
      <c r="F35" s="8">
        <f t="shared" si="2"/>
        <v>10974.098593370101</v>
      </c>
      <c r="G35" s="9">
        <f t="shared" si="3"/>
        <v>658445.91560220602</v>
      </c>
      <c r="H35" s="9">
        <f t="shared" si="4"/>
        <v>141945.91560220602</v>
      </c>
      <c r="I35" s="7">
        <f t="shared" si="5"/>
        <v>516500</v>
      </c>
      <c r="J35" s="7">
        <f t="shared" si="10"/>
        <v>34</v>
      </c>
      <c r="K35" s="5">
        <f t="shared" si="6"/>
        <v>10974.098593370101</v>
      </c>
      <c r="L35" s="6">
        <f t="shared" si="7"/>
        <v>4304.166666666667</v>
      </c>
      <c r="M35" s="5">
        <f t="shared" si="8"/>
        <v>6669.9319267034343</v>
      </c>
      <c r="N35" s="5">
        <f>A35-M35</f>
        <v>509830.06807329657</v>
      </c>
    </row>
    <row r="36" spans="1:14">
      <c r="A36" s="7">
        <f t="shared" si="9"/>
        <v>517000</v>
      </c>
      <c r="B36" s="6">
        <v>10</v>
      </c>
      <c r="C36" s="6">
        <v>5</v>
      </c>
      <c r="D36" s="7">
        <f t="shared" si="0"/>
        <v>8.3333333333333332E-3</v>
      </c>
      <c r="E36" s="7">
        <f t="shared" si="1"/>
        <v>60</v>
      </c>
      <c r="F36" s="8">
        <f t="shared" si="2"/>
        <v>10984.722115725737</v>
      </c>
      <c r="G36" s="9">
        <f t="shared" si="3"/>
        <v>659083.32694354421</v>
      </c>
      <c r="H36" s="9">
        <f t="shared" si="4"/>
        <v>142083.32694354421</v>
      </c>
      <c r="I36" s="7">
        <f t="shared" si="5"/>
        <v>517000</v>
      </c>
      <c r="J36" s="7">
        <f t="shared" si="10"/>
        <v>35</v>
      </c>
      <c r="K36" s="5">
        <f t="shared" si="6"/>
        <v>10984.722115725737</v>
      </c>
      <c r="L36" s="6">
        <f t="shared" si="7"/>
        <v>4308.333333333333</v>
      </c>
      <c r="M36" s="5">
        <f t="shared" si="8"/>
        <v>6676.3887823924042</v>
      </c>
      <c r="N36" s="5">
        <f>A36-M36</f>
        <v>510323.61121760757</v>
      </c>
    </row>
    <row r="37" spans="1:14">
      <c r="A37" s="7">
        <f t="shared" si="9"/>
        <v>517500</v>
      </c>
      <c r="B37" s="6">
        <v>10</v>
      </c>
      <c r="C37" s="6">
        <v>5</v>
      </c>
      <c r="D37" s="7">
        <f t="shared" si="0"/>
        <v>8.3333333333333332E-3</v>
      </c>
      <c r="E37" s="7">
        <f t="shared" si="1"/>
        <v>60</v>
      </c>
      <c r="F37" s="8">
        <f t="shared" si="2"/>
        <v>10995.34563808137</v>
      </c>
      <c r="G37" s="9">
        <f t="shared" si="3"/>
        <v>659720.73828488216</v>
      </c>
      <c r="H37" s="9">
        <f t="shared" si="4"/>
        <v>142220.73828488216</v>
      </c>
      <c r="I37" s="7">
        <f t="shared" si="5"/>
        <v>517500</v>
      </c>
      <c r="J37" s="7">
        <f t="shared" si="10"/>
        <v>36</v>
      </c>
      <c r="K37" s="5">
        <f t="shared" si="6"/>
        <v>10995.34563808137</v>
      </c>
      <c r="L37" s="6">
        <f t="shared" si="7"/>
        <v>4312.5</v>
      </c>
      <c r="M37" s="5">
        <f t="shared" si="8"/>
        <v>6682.8456380813695</v>
      </c>
      <c r="N37" s="5">
        <f>A37-M37</f>
        <v>510817.15436191863</v>
      </c>
    </row>
    <row r="38" spans="1:14">
      <c r="A38" s="7">
        <f t="shared" si="9"/>
        <v>518000</v>
      </c>
      <c r="B38" s="6">
        <v>10</v>
      </c>
      <c r="C38" s="6">
        <v>5</v>
      </c>
      <c r="D38" s="7">
        <f t="shared" si="0"/>
        <v>8.3333333333333332E-3</v>
      </c>
      <c r="E38" s="7">
        <f t="shared" si="1"/>
        <v>60</v>
      </c>
      <c r="F38" s="8">
        <f t="shared" si="2"/>
        <v>11005.969160437004</v>
      </c>
      <c r="G38" s="9">
        <f t="shared" si="3"/>
        <v>660358.14962622023</v>
      </c>
      <c r="H38" s="9">
        <f t="shared" si="4"/>
        <v>142358.14962622023</v>
      </c>
      <c r="I38" s="7">
        <f t="shared" si="5"/>
        <v>518000</v>
      </c>
      <c r="J38" s="7">
        <f t="shared" si="10"/>
        <v>37</v>
      </c>
      <c r="K38" s="5">
        <f t="shared" si="6"/>
        <v>11005.969160437004</v>
      </c>
      <c r="L38" s="6">
        <f t="shared" si="7"/>
        <v>4316.666666666667</v>
      </c>
      <c r="M38" s="5">
        <f t="shared" si="8"/>
        <v>6689.3024937703367</v>
      </c>
      <c r="N38" s="5">
        <f>A38-M38</f>
        <v>511310.69750622968</v>
      </c>
    </row>
    <row r="39" spans="1:14">
      <c r="A39" s="7">
        <f t="shared" si="9"/>
        <v>518500</v>
      </c>
      <c r="B39" s="6">
        <v>10</v>
      </c>
      <c r="C39" s="6">
        <v>5</v>
      </c>
      <c r="D39" s="7">
        <f t="shared" si="0"/>
        <v>8.3333333333333332E-3</v>
      </c>
      <c r="E39" s="7">
        <f t="shared" si="1"/>
        <v>60</v>
      </c>
      <c r="F39" s="8">
        <f t="shared" si="2"/>
        <v>11016.592682792638</v>
      </c>
      <c r="G39" s="9">
        <f t="shared" si="3"/>
        <v>660995.5609675583</v>
      </c>
      <c r="H39" s="9">
        <f t="shared" si="4"/>
        <v>142495.5609675583</v>
      </c>
      <c r="I39" s="7">
        <f t="shared" si="5"/>
        <v>518500</v>
      </c>
      <c r="J39" s="7">
        <f t="shared" si="10"/>
        <v>38</v>
      </c>
      <c r="K39" s="5">
        <f t="shared" si="6"/>
        <v>11016.592682792638</v>
      </c>
      <c r="L39" s="6">
        <f t="shared" si="7"/>
        <v>4320.833333333333</v>
      </c>
      <c r="M39" s="5">
        <f t="shared" si="8"/>
        <v>6695.7593494593048</v>
      </c>
      <c r="N39" s="5">
        <f>A39-M39</f>
        <v>511804.24065054068</v>
      </c>
    </row>
    <row r="40" spans="1:14">
      <c r="A40" s="7">
        <f t="shared" si="9"/>
        <v>519000</v>
      </c>
      <c r="B40" s="6">
        <v>10</v>
      </c>
      <c r="C40" s="6">
        <v>5</v>
      </c>
      <c r="D40" s="7">
        <f t="shared" si="0"/>
        <v>8.3333333333333332E-3</v>
      </c>
      <c r="E40" s="7">
        <f t="shared" si="1"/>
        <v>60</v>
      </c>
      <c r="F40" s="8">
        <f t="shared" si="2"/>
        <v>11027.216205148272</v>
      </c>
      <c r="G40" s="9">
        <f t="shared" si="3"/>
        <v>661632.97230889637</v>
      </c>
      <c r="H40" s="9">
        <f t="shared" si="4"/>
        <v>142632.97230889637</v>
      </c>
      <c r="I40" s="7">
        <f t="shared" si="5"/>
        <v>519000</v>
      </c>
      <c r="J40" s="7">
        <f t="shared" si="10"/>
        <v>39</v>
      </c>
      <c r="K40" s="5">
        <f t="shared" si="6"/>
        <v>11027.216205148272</v>
      </c>
      <c r="L40" s="6">
        <f t="shared" si="7"/>
        <v>4325</v>
      </c>
      <c r="M40" s="5">
        <f t="shared" si="8"/>
        <v>6702.2162051482719</v>
      </c>
      <c r="N40" s="5">
        <f>A40-M40</f>
        <v>512297.78379485174</v>
      </c>
    </row>
    <row r="41" spans="1:14">
      <c r="A41" s="7">
        <f t="shared" si="9"/>
        <v>519500</v>
      </c>
      <c r="B41" s="6">
        <v>10</v>
      </c>
      <c r="C41" s="6">
        <v>5</v>
      </c>
      <c r="D41" s="7">
        <f t="shared" si="0"/>
        <v>8.3333333333333332E-3</v>
      </c>
      <c r="E41" s="7">
        <f t="shared" si="1"/>
        <v>60</v>
      </c>
      <c r="F41" s="8">
        <f t="shared" si="2"/>
        <v>11037.839727503908</v>
      </c>
      <c r="G41" s="9">
        <f t="shared" si="3"/>
        <v>662270.38365023443</v>
      </c>
      <c r="H41" s="9">
        <f t="shared" si="4"/>
        <v>142770.38365023443</v>
      </c>
      <c r="I41" s="7">
        <f t="shared" si="5"/>
        <v>519500</v>
      </c>
      <c r="J41" s="7">
        <f t="shared" si="10"/>
        <v>40</v>
      </c>
      <c r="K41" s="5">
        <f t="shared" si="6"/>
        <v>11037.839727503908</v>
      </c>
      <c r="L41" s="6">
        <f t="shared" si="7"/>
        <v>4329.166666666667</v>
      </c>
      <c r="M41" s="5">
        <f t="shared" si="8"/>
        <v>6708.6730608372409</v>
      </c>
      <c r="N41" s="5">
        <f>A41-M41</f>
        <v>512791.32693916274</v>
      </c>
    </row>
    <row r="42" spans="1:14">
      <c r="A42" s="7">
        <f t="shared" si="9"/>
        <v>520000</v>
      </c>
      <c r="B42" s="6">
        <v>10</v>
      </c>
      <c r="C42" s="6">
        <v>5</v>
      </c>
      <c r="D42" s="7">
        <f t="shared" si="0"/>
        <v>8.3333333333333332E-3</v>
      </c>
      <c r="E42" s="7">
        <f t="shared" si="1"/>
        <v>60</v>
      </c>
      <c r="F42" s="8">
        <f t="shared" si="2"/>
        <v>11048.46324985954</v>
      </c>
      <c r="G42" s="9">
        <f t="shared" si="3"/>
        <v>662907.79499157239</v>
      </c>
      <c r="H42" s="9">
        <f t="shared" si="4"/>
        <v>142907.79499157239</v>
      </c>
      <c r="I42" s="7">
        <f t="shared" si="5"/>
        <v>520000</v>
      </c>
      <c r="J42" s="7">
        <f t="shared" si="10"/>
        <v>41</v>
      </c>
      <c r="K42" s="5">
        <f t="shared" si="6"/>
        <v>11048.46324985954</v>
      </c>
      <c r="L42" s="6">
        <f t="shared" si="7"/>
        <v>4333.333333333333</v>
      </c>
      <c r="M42" s="5">
        <f t="shared" si="8"/>
        <v>6715.1299165262071</v>
      </c>
      <c r="N42" s="5">
        <f>A42-M42</f>
        <v>513284.8700834738</v>
      </c>
    </row>
    <row r="43" spans="1:14">
      <c r="A43" s="7">
        <f t="shared" si="9"/>
        <v>520500</v>
      </c>
      <c r="B43" s="6">
        <v>10</v>
      </c>
      <c r="C43" s="6">
        <v>5</v>
      </c>
      <c r="D43" s="7">
        <f t="shared" si="0"/>
        <v>8.3333333333333332E-3</v>
      </c>
      <c r="E43" s="7">
        <f t="shared" si="1"/>
        <v>60</v>
      </c>
      <c r="F43" s="8">
        <f t="shared" si="2"/>
        <v>11059.086772215174</v>
      </c>
      <c r="G43" s="9">
        <f t="shared" si="3"/>
        <v>663545.20633291046</v>
      </c>
      <c r="H43" s="9">
        <f t="shared" si="4"/>
        <v>143045.20633291046</v>
      </c>
      <c r="I43" s="7">
        <f t="shared" si="5"/>
        <v>520500</v>
      </c>
      <c r="J43" s="7">
        <f t="shared" si="10"/>
        <v>42</v>
      </c>
      <c r="K43" s="5">
        <f t="shared" si="6"/>
        <v>11059.086772215174</v>
      </c>
      <c r="L43" s="6">
        <f t="shared" si="7"/>
        <v>4337.5</v>
      </c>
      <c r="M43" s="5">
        <f t="shared" si="8"/>
        <v>6721.5867722151743</v>
      </c>
      <c r="N43" s="5">
        <f>A43-M43</f>
        <v>513778.4132277848</v>
      </c>
    </row>
    <row r="44" spans="1:14">
      <c r="A44" s="7">
        <f t="shared" si="9"/>
        <v>521000</v>
      </c>
      <c r="B44" s="6">
        <v>10</v>
      </c>
      <c r="C44" s="6">
        <v>5</v>
      </c>
      <c r="D44" s="7">
        <f t="shared" si="0"/>
        <v>8.3333333333333332E-3</v>
      </c>
      <c r="E44" s="7">
        <f t="shared" si="1"/>
        <v>60</v>
      </c>
      <c r="F44" s="8">
        <f t="shared" si="2"/>
        <v>11069.710294570808</v>
      </c>
      <c r="G44" s="9">
        <f t="shared" si="3"/>
        <v>664182.61767424853</v>
      </c>
      <c r="H44" s="9">
        <f t="shared" si="4"/>
        <v>143182.61767424853</v>
      </c>
      <c r="I44" s="7">
        <f t="shared" si="5"/>
        <v>521000</v>
      </c>
      <c r="J44" s="7">
        <f t="shared" si="10"/>
        <v>43</v>
      </c>
      <c r="K44" s="5">
        <f t="shared" si="6"/>
        <v>11069.710294570808</v>
      </c>
      <c r="L44" s="6">
        <f t="shared" si="7"/>
        <v>4341.666666666667</v>
      </c>
      <c r="M44" s="5">
        <f t="shared" si="8"/>
        <v>6728.0436279041414</v>
      </c>
      <c r="N44" s="5">
        <f>A44-M44</f>
        <v>514271.95637209585</v>
      </c>
    </row>
    <row r="45" spans="1:14">
      <c r="A45" s="7">
        <f t="shared" si="9"/>
        <v>521500</v>
      </c>
      <c r="B45" s="6">
        <v>10</v>
      </c>
      <c r="C45" s="6">
        <v>5</v>
      </c>
      <c r="D45" s="7">
        <f t="shared" si="0"/>
        <v>8.3333333333333332E-3</v>
      </c>
      <c r="E45" s="7">
        <f t="shared" si="1"/>
        <v>60</v>
      </c>
      <c r="F45" s="8">
        <f t="shared" si="2"/>
        <v>11080.333816926443</v>
      </c>
      <c r="G45" s="9">
        <f t="shared" si="3"/>
        <v>664820.0290155866</v>
      </c>
      <c r="H45" s="9">
        <f t="shared" si="4"/>
        <v>143320.0290155866</v>
      </c>
      <c r="I45" s="7">
        <f t="shared" si="5"/>
        <v>521500</v>
      </c>
      <c r="J45" s="7">
        <f t="shared" si="10"/>
        <v>44</v>
      </c>
      <c r="K45" s="5">
        <f t="shared" si="6"/>
        <v>11080.333816926443</v>
      </c>
      <c r="L45" s="6">
        <f t="shared" si="7"/>
        <v>4345.833333333333</v>
      </c>
      <c r="M45" s="5">
        <f t="shared" si="8"/>
        <v>6734.5004835931095</v>
      </c>
      <c r="N45" s="5">
        <f>A45-M45</f>
        <v>514765.49951640691</v>
      </c>
    </row>
    <row r="46" spans="1:14">
      <c r="A46" s="7">
        <f t="shared" si="9"/>
        <v>522000</v>
      </c>
      <c r="B46" s="6">
        <v>10</v>
      </c>
      <c r="C46" s="6">
        <v>5</v>
      </c>
      <c r="D46" s="7">
        <f t="shared" si="0"/>
        <v>8.3333333333333332E-3</v>
      </c>
      <c r="E46" s="7">
        <f t="shared" si="1"/>
        <v>60</v>
      </c>
      <c r="F46" s="8">
        <f t="shared" si="2"/>
        <v>11090.957339282078</v>
      </c>
      <c r="G46" s="9">
        <f t="shared" si="3"/>
        <v>665457.44035692466</v>
      </c>
      <c r="H46" s="9">
        <f t="shared" si="4"/>
        <v>143457.44035692466</v>
      </c>
      <c r="I46" s="7">
        <f t="shared" si="5"/>
        <v>522000</v>
      </c>
      <c r="J46" s="7">
        <f t="shared" si="10"/>
        <v>45</v>
      </c>
      <c r="K46" s="5">
        <f t="shared" si="6"/>
        <v>11090.957339282078</v>
      </c>
      <c r="L46" s="6">
        <f t="shared" si="7"/>
        <v>4350</v>
      </c>
      <c r="M46" s="5">
        <f t="shared" si="8"/>
        <v>6740.9573392820785</v>
      </c>
      <c r="N46" s="5">
        <f>A46-M46</f>
        <v>515259.04266071791</v>
      </c>
    </row>
    <row r="47" spans="1:14">
      <c r="A47" s="7">
        <f t="shared" si="9"/>
        <v>522500</v>
      </c>
      <c r="B47" s="6">
        <v>10</v>
      </c>
      <c r="C47" s="6">
        <v>5</v>
      </c>
      <c r="D47" s="7">
        <f t="shared" si="0"/>
        <v>8.3333333333333332E-3</v>
      </c>
      <c r="E47" s="7">
        <f t="shared" si="1"/>
        <v>60</v>
      </c>
      <c r="F47" s="8">
        <f t="shared" si="2"/>
        <v>11101.580861637711</v>
      </c>
      <c r="G47" s="9">
        <f t="shared" si="3"/>
        <v>666094.85169826262</v>
      </c>
      <c r="H47" s="9">
        <f t="shared" si="4"/>
        <v>143594.85169826262</v>
      </c>
      <c r="I47" s="7">
        <f t="shared" si="5"/>
        <v>522500</v>
      </c>
      <c r="J47" s="7">
        <f t="shared" si="10"/>
        <v>46</v>
      </c>
      <c r="K47" s="5">
        <f t="shared" si="6"/>
        <v>11101.580861637711</v>
      </c>
      <c r="L47" s="6">
        <f t="shared" si="7"/>
        <v>4354.166666666667</v>
      </c>
      <c r="M47" s="5">
        <f t="shared" si="8"/>
        <v>6747.4141949710438</v>
      </c>
      <c r="N47" s="5">
        <f>A47-M47</f>
        <v>515752.58580502897</v>
      </c>
    </row>
    <row r="48" spans="1:14">
      <c r="A48" s="7">
        <f t="shared" si="9"/>
        <v>523000</v>
      </c>
      <c r="B48" s="6">
        <v>10</v>
      </c>
      <c r="C48" s="6">
        <v>5</v>
      </c>
      <c r="D48" s="7">
        <f t="shared" si="0"/>
        <v>8.3333333333333332E-3</v>
      </c>
      <c r="E48" s="7">
        <f t="shared" si="1"/>
        <v>60</v>
      </c>
      <c r="F48" s="8">
        <f t="shared" si="2"/>
        <v>11112.204383993347</v>
      </c>
      <c r="G48" s="9">
        <f t="shared" si="3"/>
        <v>666732.2630396008</v>
      </c>
      <c r="H48" s="9">
        <f t="shared" si="4"/>
        <v>143732.2630396008</v>
      </c>
      <c r="I48" s="7">
        <f t="shared" si="5"/>
        <v>523000</v>
      </c>
      <c r="J48" s="7">
        <f t="shared" si="10"/>
        <v>47</v>
      </c>
      <c r="K48" s="5">
        <f t="shared" si="6"/>
        <v>11112.204383993347</v>
      </c>
      <c r="L48" s="6">
        <f t="shared" si="7"/>
        <v>4358.333333333333</v>
      </c>
      <c r="M48" s="5">
        <f t="shared" si="8"/>
        <v>6753.8710506600137</v>
      </c>
      <c r="N48" s="5">
        <f>A48-M48</f>
        <v>516246.12894933997</v>
      </c>
    </row>
    <row r="49" spans="1:14">
      <c r="A49" s="7">
        <f t="shared" si="9"/>
        <v>523500</v>
      </c>
      <c r="B49" s="6">
        <v>10</v>
      </c>
      <c r="C49" s="6">
        <v>5</v>
      </c>
      <c r="D49" s="7">
        <f t="shared" si="0"/>
        <v>8.3333333333333332E-3</v>
      </c>
      <c r="E49" s="7">
        <f t="shared" si="1"/>
        <v>60</v>
      </c>
      <c r="F49" s="8">
        <f t="shared" si="2"/>
        <v>11122.827906348981</v>
      </c>
      <c r="G49" s="9">
        <f t="shared" si="3"/>
        <v>667369.67438093887</v>
      </c>
      <c r="H49" s="9">
        <f t="shared" si="4"/>
        <v>143869.67438093887</v>
      </c>
      <c r="I49" s="7">
        <f t="shared" si="5"/>
        <v>523500</v>
      </c>
      <c r="J49" s="7">
        <f t="shared" si="10"/>
        <v>48</v>
      </c>
      <c r="K49" s="5">
        <f t="shared" si="6"/>
        <v>11122.827906348981</v>
      </c>
      <c r="L49" s="6">
        <f t="shared" si="7"/>
        <v>4362.5</v>
      </c>
      <c r="M49" s="5">
        <f t="shared" si="8"/>
        <v>6760.3279063489808</v>
      </c>
      <c r="N49" s="5">
        <f>A49-M49</f>
        <v>516739.67209365102</v>
      </c>
    </row>
    <row r="50" spans="1:14">
      <c r="A50" s="7">
        <f t="shared" si="9"/>
        <v>524000</v>
      </c>
      <c r="B50" s="6">
        <v>10</v>
      </c>
      <c r="C50" s="6">
        <v>5</v>
      </c>
      <c r="D50" s="7">
        <f t="shared" si="0"/>
        <v>8.3333333333333332E-3</v>
      </c>
      <c r="E50" s="7">
        <f t="shared" si="1"/>
        <v>60</v>
      </c>
      <c r="F50" s="8">
        <f t="shared" si="2"/>
        <v>11133.451428704613</v>
      </c>
      <c r="G50" s="9">
        <f t="shared" si="3"/>
        <v>668007.08572227682</v>
      </c>
      <c r="H50" s="9">
        <f t="shared" si="4"/>
        <v>144007.08572227682</v>
      </c>
      <c r="I50" s="7">
        <f t="shared" si="5"/>
        <v>524000</v>
      </c>
      <c r="J50" s="7">
        <f t="shared" si="10"/>
        <v>49</v>
      </c>
      <c r="K50" s="5">
        <f t="shared" si="6"/>
        <v>11133.451428704613</v>
      </c>
      <c r="L50" s="6">
        <f t="shared" si="7"/>
        <v>4366.666666666667</v>
      </c>
      <c r="M50" s="5">
        <f t="shared" si="8"/>
        <v>6766.7847620379462</v>
      </c>
      <c r="N50" s="5">
        <f>A50-M50</f>
        <v>517233.21523796208</v>
      </c>
    </row>
    <row r="51" spans="1:14">
      <c r="A51" s="7">
        <f t="shared" si="9"/>
        <v>524500</v>
      </c>
      <c r="B51" s="6">
        <v>10</v>
      </c>
      <c r="C51" s="6">
        <v>5</v>
      </c>
      <c r="D51" s="7">
        <f t="shared" si="0"/>
        <v>8.3333333333333332E-3</v>
      </c>
      <c r="E51" s="7">
        <f t="shared" si="1"/>
        <v>60</v>
      </c>
      <c r="F51" s="8">
        <f t="shared" si="2"/>
        <v>11144.074951060249</v>
      </c>
      <c r="G51" s="9">
        <f t="shared" si="3"/>
        <v>668644.49706361489</v>
      </c>
      <c r="H51" s="9">
        <f t="shared" si="4"/>
        <v>144144.49706361489</v>
      </c>
      <c r="I51" s="7">
        <f t="shared" si="5"/>
        <v>524500</v>
      </c>
      <c r="J51" s="7">
        <f t="shared" si="10"/>
        <v>50</v>
      </c>
      <c r="K51" s="5">
        <f t="shared" si="6"/>
        <v>11144.074951060249</v>
      </c>
      <c r="L51" s="6">
        <f t="shared" si="7"/>
        <v>4370.833333333333</v>
      </c>
      <c r="M51" s="5">
        <f t="shared" si="8"/>
        <v>6773.241617726916</v>
      </c>
      <c r="N51" s="5">
        <f>A51-M51</f>
        <v>517726.75838227308</v>
      </c>
    </row>
    <row r="52" spans="1:14">
      <c r="A52" s="7">
        <f t="shared" si="9"/>
        <v>525000</v>
      </c>
      <c r="B52" s="6">
        <v>10</v>
      </c>
      <c r="C52" s="6">
        <v>5</v>
      </c>
      <c r="D52" s="7">
        <f t="shared" si="0"/>
        <v>8.3333333333333332E-3</v>
      </c>
      <c r="E52" s="7">
        <f t="shared" si="1"/>
        <v>60</v>
      </c>
      <c r="F52" s="8">
        <f t="shared" si="2"/>
        <v>11154.698473415881</v>
      </c>
      <c r="G52" s="9">
        <f t="shared" si="3"/>
        <v>669281.90840495285</v>
      </c>
      <c r="H52" s="9">
        <f t="shared" si="4"/>
        <v>144281.90840495285</v>
      </c>
      <c r="I52" s="7">
        <f t="shared" si="5"/>
        <v>525000</v>
      </c>
      <c r="J52" s="7">
        <f t="shared" si="10"/>
        <v>51</v>
      </c>
      <c r="K52" s="5">
        <f t="shared" si="6"/>
        <v>11154.698473415881</v>
      </c>
      <c r="L52" s="6">
        <f t="shared" si="7"/>
        <v>4375</v>
      </c>
      <c r="M52" s="5">
        <f t="shared" si="8"/>
        <v>6779.6984734158814</v>
      </c>
      <c r="N52" s="5">
        <f>A52-M52</f>
        <v>518220.30152658414</v>
      </c>
    </row>
    <row r="53" spans="1:14">
      <c r="A53" s="7">
        <f t="shared" si="9"/>
        <v>525500</v>
      </c>
      <c r="B53" s="6">
        <v>10</v>
      </c>
      <c r="C53" s="6">
        <v>5</v>
      </c>
      <c r="D53" s="7">
        <f t="shared" si="0"/>
        <v>8.3333333333333332E-3</v>
      </c>
      <c r="E53" s="7">
        <f t="shared" si="1"/>
        <v>60</v>
      </c>
      <c r="F53" s="8">
        <f t="shared" si="2"/>
        <v>11165.321995771517</v>
      </c>
      <c r="G53" s="9">
        <f t="shared" si="3"/>
        <v>669919.31974629103</v>
      </c>
      <c r="H53" s="9">
        <f t="shared" si="4"/>
        <v>144419.31974629103</v>
      </c>
      <c r="I53" s="7">
        <f t="shared" si="5"/>
        <v>525500</v>
      </c>
      <c r="J53" s="7">
        <f t="shared" si="10"/>
        <v>52</v>
      </c>
      <c r="K53" s="5">
        <f t="shared" si="6"/>
        <v>11165.321995771517</v>
      </c>
      <c r="L53" s="6">
        <f t="shared" si="7"/>
        <v>4379.166666666667</v>
      </c>
      <c r="M53" s="5">
        <f t="shared" si="8"/>
        <v>6786.1553291048504</v>
      </c>
      <c r="N53" s="5">
        <f>A53-M53</f>
        <v>518713.84467089514</v>
      </c>
    </row>
    <row r="54" spans="1:14">
      <c r="A54" s="7">
        <f t="shared" si="9"/>
        <v>526000</v>
      </c>
      <c r="B54" s="6">
        <v>10</v>
      </c>
      <c r="C54" s="6">
        <v>5</v>
      </c>
      <c r="D54" s="7">
        <f t="shared" si="0"/>
        <v>8.3333333333333332E-3</v>
      </c>
      <c r="E54" s="7">
        <f t="shared" si="1"/>
        <v>60</v>
      </c>
      <c r="F54" s="8">
        <f t="shared" si="2"/>
        <v>11175.945518127151</v>
      </c>
      <c r="G54" s="9">
        <f t="shared" si="3"/>
        <v>670556.7310876291</v>
      </c>
      <c r="H54" s="9">
        <f t="shared" si="4"/>
        <v>144556.7310876291</v>
      </c>
      <c r="I54" s="7">
        <f t="shared" si="5"/>
        <v>526000</v>
      </c>
      <c r="J54" s="7">
        <f t="shared" si="10"/>
        <v>53</v>
      </c>
      <c r="K54" s="5">
        <f t="shared" si="6"/>
        <v>11175.945518127151</v>
      </c>
      <c r="L54" s="6">
        <f t="shared" si="7"/>
        <v>4383.333333333333</v>
      </c>
      <c r="M54" s="5">
        <f t="shared" si="8"/>
        <v>6792.6121847938184</v>
      </c>
      <c r="N54" s="5">
        <f>A54-M54</f>
        <v>519207.3878152062</v>
      </c>
    </row>
    <row r="55" spans="1:14">
      <c r="A55" s="7">
        <f t="shared" si="9"/>
        <v>526500</v>
      </c>
      <c r="B55" s="6">
        <v>10</v>
      </c>
      <c r="C55" s="6">
        <v>5</v>
      </c>
      <c r="D55" s="7">
        <f t="shared" si="0"/>
        <v>8.3333333333333332E-3</v>
      </c>
      <c r="E55" s="7">
        <f t="shared" si="1"/>
        <v>60</v>
      </c>
      <c r="F55" s="8">
        <f t="shared" si="2"/>
        <v>11186.569040482784</v>
      </c>
      <c r="G55" s="9">
        <f t="shared" si="3"/>
        <v>671194.14242896705</v>
      </c>
      <c r="H55" s="9">
        <f t="shared" si="4"/>
        <v>144694.14242896705</v>
      </c>
      <c r="I55" s="7">
        <f t="shared" si="5"/>
        <v>526500</v>
      </c>
      <c r="J55" s="7">
        <f t="shared" si="10"/>
        <v>54</v>
      </c>
      <c r="K55" s="5">
        <f t="shared" si="6"/>
        <v>11186.569040482784</v>
      </c>
      <c r="L55" s="6">
        <f t="shared" si="7"/>
        <v>4387.5</v>
      </c>
      <c r="M55" s="5">
        <f t="shared" si="8"/>
        <v>6799.0690404827837</v>
      </c>
      <c r="N55" s="5">
        <f>A55-M55</f>
        <v>519700.93095951719</v>
      </c>
    </row>
    <row r="56" spans="1:14">
      <c r="A56" s="7">
        <f t="shared" si="9"/>
        <v>527000</v>
      </c>
      <c r="B56" s="6">
        <v>10</v>
      </c>
      <c r="C56" s="6">
        <v>5</v>
      </c>
      <c r="D56" s="7">
        <f t="shared" si="0"/>
        <v>8.3333333333333332E-3</v>
      </c>
      <c r="E56" s="7">
        <f t="shared" si="1"/>
        <v>60</v>
      </c>
      <c r="F56" s="8">
        <f t="shared" si="2"/>
        <v>11197.19256283842</v>
      </c>
      <c r="G56" s="9">
        <f t="shared" si="3"/>
        <v>671831.55377030512</v>
      </c>
      <c r="H56" s="9">
        <f t="shared" si="4"/>
        <v>144831.55377030512</v>
      </c>
      <c r="I56" s="7">
        <f t="shared" si="5"/>
        <v>527000</v>
      </c>
      <c r="J56" s="7">
        <f t="shared" si="10"/>
        <v>55</v>
      </c>
      <c r="K56" s="5">
        <f t="shared" si="6"/>
        <v>11197.19256283842</v>
      </c>
      <c r="L56" s="6">
        <f t="shared" si="7"/>
        <v>4391.666666666667</v>
      </c>
      <c r="M56" s="5">
        <f t="shared" si="8"/>
        <v>6805.5258961717527</v>
      </c>
      <c r="N56" s="5">
        <f>A56-M56</f>
        <v>520194.47410382825</v>
      </c>
    </row>
    <row r="57" spans="1:14">
      <c r="A57" s="7">
        <f t="shared" si="9"/>
        <v>527500</v>
      </c>
      <c r="B57" s="6">
        <v>10</v>
      </c>
      <c r="C57" s="6">
        <v>5</v>
      </c>
      <c r="D57" s="7">
        <f t="shared" si="0"/>
        <v>8.3333333333333332E-3</v>
      </c>
      <c r="E57" s="7">
        <f t="shared" si="1"/>
        <v>60</v>
      </c>
      <c r="F57" s="8">
        <f t="shared" si="2"/>
        <v>11207.816085194054</v>
      </c>
      <c r="G57" s="9">
        <f t="shared" si="3"/>
        <v>672468.96511164319</v>
      </c>
      <c r="H57" s="9">
        <f t="shared" si="4"/>
        <v>144968.96511164319</v>
      </c>
      <c r="I57" s="7">
        <f t="shared" si="5"/>
        <v>527500</v>
      </c>
      <c r="J57" s="7">
        <f t="shared" si="10"/>
        <v>56</v>
      </c>
      <c r="K57" s="5">
        <f t="shared" si="6"/>
        <v>11207.816085194054</v>
      </c>
      <c r="L57" s="6">
        <f t="shared" si="7"/>
        <v>4395.833333333333</v>
      </c>
      <c r="M57" s="5">
        <f t="shared" si="8"/>
        <v>6811.9827518607208</v>
      </c>
      <c r="N57" s="5">
        <f>A57-M57</f>
        <v>520688.01724813925</v>
      </c>
    </row>
    <row r="58" spans="1:14">
      <c r="A58" s="7">
        <f t="shared" si="9"/>
        <v>528000</v>
      </c>
      <c r="B58" s="6">
        <v>10</v>
      </c>
      <c r="C58" s="6">
        <v>5</v>
      </c>
      <c r="D58" s="7">
        <f t="shared" si="0"/>
        <v>8.3333333333333332E-3</v>
      </c>
      <c r="E58" s="7">
        <f t="shared" si="1"/>
        <v>60</v>
      </c>
      <c r="F58" s="8">
        <f t="shared" si="2"/>
        <v>11218.439607549688</v>
      </c>
      <c r="G58" s="9">
        <f t="shared" si="3"/>
        <v>673106.37645298126</v>
      </c>
      <c r="H58" s="9">
        <f t="shared" si="4"/>
        <v>145106.37645298126</v>
      </c>
      <c r="I58" s="7">
        <f t="shared" si="5"/>
        <v>528000</v>
      </c>
      <c r="J58" s="7">
        <f t="shared" si="10"/>
        <v>57</v>
      </c>
      <c r="K58" s="5">
        <f t="shared" si="6"/>
        <v>11218.439607549688</v>
      </c>
      <c r="L58" s="6">
        <f t="shared" si="7"/>
        <v>4400</v>
      </c>
      <c r="M58" s="5">
        <f t="shared" si="8"/>
        <v>6818.4396075496879</v>
      </c>
      <c r="N58" s="5">
        <f>A58-M58</f>
        <v>521181.56039245031</v>
      </c>
    </row>
    <row r="59" spans="1:14">
      <c r="A59" s="7">
        <f t="shared" si="9"/>
        <v>528500</v>
      </c>
      <c r="B59" s="6">
        <v>10</v>
      </c>
      <c r="C59" s="6">
        <v>5</v>
      </c>
      <c r="D59" s="7">
        <f t="shared" si="0"/>
        <v>8.3333333333333332E-3</v>
      </c>
      <c r="E59" s="7">
        <f t="shared" si="1"/>
        <v>60</v>
      </c>
      <c r="F59" s="8">
        <f t="shared" si="2"/>
        <v>11229.063129905322</v>
      </c>
      <c r="G59" s="9">
        <f t="shared" si="3"/>
        <v>673743.78779431933</v>
      </c>
      <c r="H59" s="9">
        <f t="shared" si="4"/>
        <v>145243.78779431933</v>
      </c>
      <c r="I59" s="7">
        <f t="shared" si="5"/>
        <v>528500</v>
      </c>
      <c r="J59" s="7">
        <f t="shared" si="10"/>
        <v>58</v>
      </c>
      <c r="K59" s="5">
        <f t="shared" si="6"/>
        <v>11229.063129905322</v>
      </c>
      <c r="L59" s="6">
        <f t="shared" si="7"/>
        <v>4404.166666666667</v>
      </c>
      <c r="M59" s="5">
        <f t="shared" si="8"/>
        <v>6824.8964632386551</v>
      </c>
      <c r="N59" s="5">
        <f>A59-M59</f>
        <v>521675.10353676137</v>
      </c>
    </row>
    <row r="60" spans="1:14">
      <c r="A60" s="7">
        <f t="shared" si="9"/>
        <v>529000</v>
      </c>
      <c r="B60" s="6">
        <v>10</v>
      </c>
      <c r="C60" s="6">
        <v>5</v>
      </c>
      <c r="D60" s="7">
        <f t="shared" si="0"/>
        <v>8.3333333333333332E-3</v>
      </c>
      <c r="E60" s="7">
        <f t="shared" si="1"/>
        <v>60</v>
      </c>
      <c r="F60" s="8">
        <f t="shared" si="2"/>
        <v>11239.686652260956</v>
      </c>
      <c r="G60" s="9">
        <f t="shared" si="3"/>
        <v>674381.1991356574</v>
      </c>
      <c r="H60" s="9">
        <f t="shared" si="4"/>
        <v>145381.1991356574</v>
      </c>
      <c r="I60" s="7">
        <f t="shared" si="5"/>
        <v>529000</v>
      </c>
      <c r="J60" s="7">
        <f t="shared" si="10"/>
        <v>59</v>
      </c>
      <c r="K60" s="5">
        <f t="shared" si="6"/>
        <v>11239.686652260956</v>
      </c>
      <c r="L60" s="6">
        <f t="shared" si="7"/>
        <v>4408.333333333333</v>
      </c>
      <c r="M60" s="5">
        <f t="shared" si="8"/>
        <v>6831.3533189276231</v>
      </c>
      <c r="N60" s="5">
        <f>A60-M60</f>
        <v>522168.64668107237</v>
      </c>
    </row>
    <row r="61" spans="1:14">
      <c r="A61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>
      <selection activeCell="G49" sqref="G49"/>
    </sheetView>
  </sheetViews>
  <sheetFormatPr defaultRowHeight="15"/>
  <cols>
    <col min="1" max="1" width="18.140625" customWidth="1"/>
    <col min="2" max="2" width="12.42578125" customWidth="1"/>
    <col min="3" max="3" width="20" customWidth="1"/>
    <col min="4" max="4" width="32.28515625" customWidth="1"/>
    <col min="5" max="5" width="33.5703125" customWidth="1"/>
    <col min="6" max="6" width="28.28515625" customWidth="1"/>
    <col min="7" max="7" width="23" customWidth="1"/>
  </cols>
  <sheetData>
    <row r="1" spans="1:6" ht="19.5" thickBot="1">
      <c r="D1" s="22" t="s">
        <v>25</v>
      </c>
      <c r="E1" s="22" t="s">
        <v>26</v>
      </c>
    </row>
    <row r="2" spans="1:6" ht="20.25">
      <c r="D2" s="23" t="s">
        <v>27</v>
      </c>
      <c r="E2" s="19">
        <f>MAX(Sheet1!K:K)</f>
        <v>11239.686652260956</v>
      </c>
    </row>
    <row r="3" spans="1:6" ht="20.25">
      <c r="D3" s="24" t="s">
        <v>28</v>
      </c>
      <c r="E3" s="20">
        <f>MAX(Sheet1!G:GI)</f>
        <v>674381.1991356574</v>
      </c>
    </row>
    <row r="4" spans="1:6" ht="21" thickBot="1">
      <c r="D4" s="25" t="s">
        <v>29</v>
      </c>
      <c r="E4" s="21">
        <f>MAX(Sheet1!H:H)</f>
        <v>145381.1991356574</v>
      </c>
    </row>
    <row r="7" spans="1:6">
      <c r="A7" s="30" t="s">
        <v>1</v>
      </c>
      <c r="B7" s="30" t="s">
        <v>18</v>
      </c>
      <c r="E7" s="29" t="s">
        <v>21</v>
      </c>
      <c r="F7" s="29"/>
    </row>
    <row r="8" spans="1:6">
      <c r="A8" s="31" t="s">
        <v>2</v>
      </c>
      <c r="B8" s="31" t="s">
        <v>18</v>
      </c>
    </row>
    <row r="9" spans="1:6">
      <c r="A9" s="11"/>
      <c r="B9" s="11"/>
      <c r="C9" s="11"/>
      <c r="D9" s="11"/>
    </row>
    <row r="10" spans="1:6">
      <c r="A10" s="7"/>
      <c r="B10" s="28" t="s">
        <v>14</v>
      </c>
      <c r="C10" s="7"/>
      <c r="D10" s="7"/>
    </row>
    <row r="11" spans="1:6">
      <c r="A11" s="28" t="s">
        <v>19</v>
      </c>
      <c r="B11" s="7" t="s">
        <v>15</v>
      </c>
      <c r="C11" s="7" t="s">
        <v>16</v>
      </c>
      <c r="D11" s="7" t="s">
        <v>17</v>
      </c>
    </row>
    <row r="12" spans="1:6">
      <c r="A12" s="7">
        <v>500000</v>
      </c>
      <c r="B12" s="27">
        <v>10623.522355634175</v>
      </c>
      <c r="C12" s="27">
        <v>637411.34133805055</v>
      </c>
      <c r="D12" s="27">
        <v>137411.34133805055</v>
      </c>
    </row>
    <row r="13" spans="1:6">
      <c r="A13" s="7">
        <v>500500</v>
      </c>
      <c r="B13" s="27">
        <v>10634.145877989808</v>
      </c>
      <c r="C13" s="27">
        <v>638048.7526793885</v>
      </c>
      <c r="D13" s="27">
        <v>137548.7526793885</v>
      </c>
    </row>
    <row r="14" spans="1:6">
      <c r="A14" s="7">
        <v>501000</v>
      </c>
      <c r="B14" s="27">
        <v>10644.769400345442</v>
      </c>
      <c r="C14" s="27">
        <v>638686.16402072646</v>
      </c>
      <c r="D14" s="27">
        <v>137686.16402072646</v>
      </c>
    </row>
    <row r="15" spans="1:6">
      <c r="A15" s="7">
        <v>501500</v>
      </c>
      <c r="B15" s="27">
        <v>10655.392922701076</v>
      </c>
      <c r="C15" s="27">
        <v>639323.57536206453</v>
      </c>
      <c r="D15" s="27">
        <v>137823.57536206453</v>
      </c>
    </row>
    <row r="16" spans="1:6">
      <c r="A16" s="7">
        <v>502000</v>
      </c>
      <c r="B16" s="27">
        <v>10666.01644505671</v>
      </c>
      <c r="C16" s="27">
        <v>639960.9867034026</v>
      </c>
      <c r="D16" s="27">
        <v>137960.9867034026</v>
      </c>
    </row>
    <row r="17" spans="1:6">
      <c r="A17" s="7">
        <v>502500</v>
      </c>
      <c r="B17" s="27">
        <v>10676.639967412346</v>
      </c>
      <c r="C17" s="27">
        <v>640598.39804474078</v>
      </c>
      <c r="D17" s="27">
        <v>138098.39804474078</v>
      </c>
    </row>
    <row r="18" spans="1:6">
      <c r="A18" s="7">
        <v>503000</v>
      </c>
      <c r="B18" s="27">
        <v>10687.263489767978</v>
      </c>
      <c r="C18" s="27">
        <v>641235.80938607873</v>
      </c>
      <c r="D18" s="27">
        <v>138235.80938607873</v>
      </c>
    </row>
    <row r="19" spans="1:6">
      <c r="A19" s="7">
        <v>503500</v>
      </c>
      <c r="B19" s="27">
        <v>10697.887012123614</v>
      </c>
      <c r="C19" s="27">
        <v>641873.2207274168</v>
      </c>
      <c r="D19" s="27">
        <v>138373.2207274168</v>
      </c>
    </row>
    <row r="20" spans="1:6">
      <c r="A20" s="7">
        <v>504000</v>
      </c>
      <c r="B20" s="27">
        <v>10708.510534479246</v>
      </c>
      <c r="C20" s="27">
        <v>642510.63206875476</v>
      </c>
      <c r="D20" s="27">
        <v>138510.63206875476</v>
      </c>
    </row>
    <row r="21" spans="1:6">
      <c r="A21" s="7">
        <v>504500</v>
      </c>
      <c r="B21" s="27">
        <v>10719.134056834881</v>
      </c>
      <c r="C21" s="27">
        <v>643148.04341009283</v>
      </c>
      <c r="D21" s="27">
        <v>138648.04341009283</v>
      </c>
    </row>
    <row r="22" spans="1:6">
      <c r="A22" s="7">
        <v>505000</v>
      </c>
      <c r="B22" s="27">
        <v>10729.757579190516</v>
      </c>
      <c r="C22" s="27">
        <v>643785.45475143101</v>
      </c>
      <c r="D22" s="27">
        <v>138785.45475143101</v>
      </c>
      <c r="E22" s="29" t="s">
        <v>22</v>
      </c>
      <c r="F22" s="29"/>
    </row>
    <row r="23" spans="1:6">
      <c r="A23" s="7">
        <v>505500</v>
      </c>
      <c r="B23" s="27">
        <v>10740.381101546149</v>
      </c>
      <c r="C23" s="27">
        <v>644422.86609276896</v>
      </c>
      <c r="D23" s="27">
        <v>138922.86609276896</v>
      </c>
    </row>
    <row r="24" spans="1:6">
      <c r="A24" s="7">
        <v>506000</v>
      </c>
      <c r="B24" s="27">
        <v>10751.004623901785</v>
      </c>
      <c r="C24" s="27">
        <v>645060.27743410703</v>
      </c>
      <c r="D24" s="27">
        <v>139060.27743410703</v>
      </c>
    </row>
    <row r="25" spans="1:6">
      <c r="A25" s="7">
        <v>506500</v>
      </c>
      <c r="B25" s="27">
        <v>10761.628146257419</v>
      </c>
      <c r="C25" s="27">
        <v>645697.6887754451</v>
      </c>
      <c r="D25" s="27">
        <v>139197.6887754451</v>
      </c>
    </row>
    <row r="26" spans="1:6">
      <c r="A26" s="7">
        <v>507000</v>
      </c>
      <c r="B26" s="27">
        <v>10772.251668613051</v>
      </c>
      <c r="C26" s="27">
        <v>646335.10011678305</v>
      </c>
      <c r="D26" s="27">
        <v>139335.10011678305</v>
      </c>
    </row>
    <row r="27" spans="1:6">
      <c r="A27" s="7">
        <v>507500</v>
      </c>
      <c r="B27" s="27">
        <v>10782.875190968687</v>
      </c>
      <c r="C27" s="27">
        <v>646972.51145812124</v>
      </c>
      <c r="D27" s="27">
        <v>139472.51145812124</v>
      </c>
    </row>
    <row r="28" spans="1:6">
      <c r="A28" s="7">
        <v>508000</v>
      </c>
      <c r="B28" s="27">
        <v>10793.498713324319</v>
      </c>
      <c r="C28" s="27">
        <v>647609.92279945919</v>
      </c>
      <c r="D28" s="27">
        <v>139609.92279945919</v>
      </c>
    </row>
    <row r="29" spans="1:6">
      <c r="A29" s="7">
        <v>508500</v>
      </c>
      <c r="B29" s="27">
        <v>10804.122235679955</v>
      </c>
      <c r="C29" s="27">
        <v>648247.33414079738</v>
      </c>
      <c r="D29" s="27">
        <v>139747.33414079738</v>
      </c>
    </row>
    <row r="30" spans="1:6">
      <c r="A30" s="7">
        <v>509000</v>
      </c>
      <c r="B30" s="27">
        <v>10814.745758035589</v>
      </c>
      <c r="C30" s="27">
        <v>648884.74548213533</v>
      </c>
      <c r="D30" s="27">
        <v>139884.74548213533</v>
      </c>
    </row>
    <row r="31" spans="1:6">
      <c r="A31" s="7">
        <v>509500</v>
      </c>
      <c r="B31" s="27">
        <v>10825.369280391224</v>
      </c>
      <c r="C31" s="27">
        <v>649522.1568234734</v>
      </c>
      <c r="D31" s="27">
        <v>140022.1568234734</v>
      </c>
    </row>
    <row r="32" spans="1:6">
      <c r="A32" s="7">
        <v>510000</v>
      </c>
      <c r="B32" s="27">
        <v>10835.992802746858</v>
      </c>
      <c r="C32" s="27">
        <v>650159.56816481147</v>
      </c>
      <c r="D32" s="27">
        <v>140159.56816481147</v>
      </c>
    </row>
    <row r="33" spans="1:8">
      <c r="A33" s="7">
        <v>510500</v>
      </c>
      <c r="B33" s="27">
        <v>10846.616325102492</v>
      </c>
      <c r="C33" s="27">
        <v>650796.97950614954</v>
      </c>
      <c r="D33" s="27">
        <v>140296.97950614954</v>
      </c>
    </row>
    <row r="34" spans="1:8">
      <c r="A34" s="7">
        <v>511000</v>
      </c>
      <c r="B34" s="27">
        <v>10857.239847458126</v>
      </c>
      <c r="C34" s="27">
        <v>651434.39084748761</v>
      </c>
      <c r="D34" s="27">
        <v>140434.39084748761</v>
      </c>
    </row>
    <row r="35" spans="1:8">
      <c r="A35" s="7">
        <v>511500</v>
      </c>
      <c r="B35" s="27">
        <v>10867.86336981376</v>
      </c>
      <c r="C35" s="27">
        <v>652071.80218882556</v>
      </c>
      <c r="D35" s="27">
        <v>140571.80218882556</v>
      </c>
    </row>
    <row r="36" spans="1:8">
      <c r="A36" s="7">
        <v>512000</v>
      </c>
      <c r="B36" s="27">
        <v>10878.486892169394</v>
      </c>
      <c r="C36" s="27">
        <v>652709.21353016363</v>
      </c>
      <c r="D36" s="27">
        <v>140709.21353016363</v>
      </c>
    </row>
    <row r="37" spans="1:8">
      <c r="A37" s="7">
        <v>512500</v>
      </c>
      <c r="B37" s="27">
        <v>10889.110414525028</v>
      </c>
      <c r="C37" s="27">
        <v>653346.6248715017</v>
      </c>
      <c r="D37" s="27">
        <v>140846.6248715017</v>
      </c>
    </row>
    <row r="38" spans="1:8" ht="15.75" thickBot="1">
      <c r="A38" s="7">
        <v>513000</v>
      </c>
      <c r="B38" s="27">
        <v>10899.733936880662</v>
      </c>
      <c r="C38" s="27">
        <v>653984.03621283977</v>
      </c>
      <c r="D38" s="27">
        <v>140984.03621283977</v>
      </c>
    </row>
    <row r="39" spans="1:8">
      <c r="A39" s="7">
        <v>513500</v>
      </c>
      <c r="B39" s="27">
        <v>10910.357459236297</v>
      </c>
      <c r="C39" s="27">
        <v>654621.44755417784</v>
      </c>
      <c r="D39" s="27">
        <v>141121.44755417784</v>
      </c>
      <c r="G39" s="32" t="s">
        <v>23</v>
      </c>
      <c r="H39" s="33" t="s">
        <v>24</v>
      </c>
    </row>
    <row r="40" spans="1:8">
      <c r="A40" s="7">
        <v>514000</v>
      </c>
      <c r="B40" s="27">
        <v>10920.980981591931</v>
      </c>
      <c r="C40" s="27">
        <v>655258.85889551579</v>
      </c>
      <c r="D40" s="27">
        <v>141258.85889551579</v>
      </c>
      <c r="G40" s="34" t="s">
        <v>11</v>
      </c>
      <c r="H40" s="35">
        <v>500000</v>
      </c>
    </row>
    <row r="41" spans="1:8" ht="15.75" thickBot="1">
      <c r="A41" s="7">
        <v>514500</v>
      </c>
      <c r="B41" s="27">
        <v>10931.604503947565</v>
      </c>
      <c r="C41" s="27">
        <v>655896.27023685386</v>
      </c>
      <c r="D41" s="27">
        <v>141396.27023685386</v>
      </c>
      <c r="G41" s="36" t="s">
        <v>10</v>
      </c>
      <c r="H41" s="37">
        <v>137411</v>
      </c>
    </row>
    <row r="42" spans="1:8">
      <c r="A42" s="7">
        <v>515000</v>
      </c>
      <c r="B42" s="27">
        <v>10942.228026303199</v>
      </c>
      <c r="C42" s="27">
        <v>656533.68157819193</v>
      </c>
      <c r="D42" s="27">
        <v>141533.68157819193</v>
      </c>
    </row>
    <row r="43" spans="1:8">
      <c r="A43" s="7">
        <v>515500</v>
      </c>
      <c r="B43" s="27">
        <v>10952.851548658833</v>
      </c>
      <c r="C43" s="27">
        <v>657171.09291953</v>
      </c>
      <c r="D43" s="27">
        <v>141671.09291953</v>
      </c>
    </row>
    <row r="44" spans="1:8">
      <c r="A44" s="7">
        <v>516000</v>
      </c>
      <c r="B44" s="27">
        <v>10963.475071014467</v>
      </c>
      <c r="C44" s="27">
        <v>657808.50426086807</v>
      </c>
      <c r="D44" s="27">
        <v>141808.50426086807</v>
      </c>
    </row>
    <row r="45" spans="1:8">
      <c r="A45" s="7">
        <v>516500</v>
      </c>
      <c r="B45" s="27">
        <v>10974.098593370101</v>
      </c>
      <c r="C45" s="27">
        <v>658445.91560220602</v>
      </c>
      <c r="D45" s="27">
        <v>141945.91560220602</v>
      </c>
    </row>
    <row r="46" spans="1:8">
      <c r="A46" s="7">
        <v>517000</v>
      </c>
      <c r="B46" s="27">
        <v>10984.722115725737</v>
      </c>
      <c r="C46" s="27">
        <v>659083.32694354421</v>
      </c>
      <c r="D46" s="27">
        <v>142083.32694354421</v>
      </c>
    </row>
    <row r="47" spans="1:8">
      <c r="A47" s="7">
        <v>517500</v>
      </c>
      <c r="B47" s="27">
        <v>10995.34563808137</v>
      </c>
      <c r="C47" s="27">
        <v>659720.73828488216</v>
      </c>
      <c r="D47" s="27">
        <v>142220.73828488216</v>
      </c>
    </row>
    <row r="48" spans="1:8">
      <c r="A48" s="7">
        <v>518000</v>
      </c>
      <c r="B48" s="27">
        <v>11005.969160437004</v>
      </c>
      <c r="C48" s="27">
        <v>660358.14962622023</v>
      </c>
      <c r="D48" s="27">
        <v>142358.14962622023</v>
      </c>
    </row>
    <row r="49" spans="1:4">
      <c r="A49" s="7">
        <v>518500</v>
      </c>
      <c r="B49" s="27">
        <v>11016.592682792638</v>
      </c>
      <c r="C49" s="27">
        <v>660995.5609675583</v>
      </c>
      <c r="D49" s="27">
        <v>142495.5609675583</v>
      </c>
    </row>
    <row r="50" spans="1:4">
      <c r="A50" s="7">
        <v>519000</v>
      </c>
      <c r="B50" s="27">
        <v>11027.216205148272</v>
      </c>
      <c r="C50" s="27">
        <v>661632.97230889637</v>
      </c>
      <c r="D50" s="27">
        <v>142632.97230889637</v>
      </c>
    </row>
    <row r="51" spans="1:4">
      <c r="A51" s="7">
        <v>519500</v>
      </c>
      <c r="B51" s="27">
        <v>11037.839727503908</v>
      </c>
      <c r="C51" s="27">
        <v>662270.38365023443</v>
      </c>
      <c r="D51" s="27">
        <v>142770.38365023443</v>
      </c>
    </row>
    <row r="52" spans="1:4">
      <c r="A52" s="7">
        <v>520000</v>
      </c>
      <c r="B52" s="27">
        <v>11048.46324985954</v>
      </c>
      <c r="C52" s="27">
        <v>662907.79499157239</v>
      </c>
      <c r="D52" s="27">
        <v>142907.79499157239</v>
      </c>
    </row>
    <row r="53" spans="1:4">
      <c r="A53" s="7">
        <v>520500</v>
      </c>
      <c r="B53" s="27">
        <v>11059.086772215174</v>
      </c>
      <c r="C53" s="27">
        <v>663545.20633291046</v>
      </c>
      <c r="D53" s="27">
        <v>143045.20633291046</v>
      </c>
    </row>
    <row r="54" spans="1:4">
      <c r="A54" s="7">
        <v>521000</v>
      </c>
      <c r="B54" s="27">
        <v>11069.710294570808</v>
      </c>
      <c r="C54" s="27">
        <v>664182.61767424853</v>
      </c>
      <c r="D54" s="27">
        <v>143182.61767424853</v>
      </c>
    </row>
    <row r="55" spans="1:4">
      <c r="A55" s="7">
        <v>521500</v>
      </c>
      <c r="B55" s="27">
        <v>11080.333816926443</v>
      </c>
      <c r="C55" s="27">
        <v>664820.0290155866</v>
      </c>
      <c r="D55" s="27">
        <v>143320.0290155866</v>
      </c>
    </row>
    <row r="56" spans="1:4">
      <c r="A56" s="7">
        <v>522000</v>
      </c>
      <c r="B56" s="27">
        <v>11090.957339282078</v>
      </c>
      <c r="C56" s="27">
        <v>665457.44035692466</v>
      </c>
      <c r="D56" s="27">
        <v>143457.44035692466</v>
      </c>
    </row>
    <row r="57" spans="1:4">
      <c r="A57" s="7">
        <v>522500</v>
      </c>
      <c r="B57" s="27">
        <v>11101.580861637711</v>
      </c>
      <c r="C57" s="27">
        <v>666094.85169826262</v>
      </c>
      <c r="D57" s="27">
        <v>143594.85169826262</v>
      </c>
    </row>
    <row r="58" spans="1:4">
      <c r="A58" s="7">
        <v>523000</v>
      </c>
      <c r="B58" s="27">
        <v>11112.204383993347</v>
      </c>
      <c r="C58" s="27">
        <v>666732.2630396008</v>
      </c>
      <c r="D58" s="27">
        <v>143732.2630396008</v>
      </c>
    </row>
    <row r="59" spans="1:4">
      <c r="A59" s="7">
        <v>523500</v>
      </c>
      <c r="B59" s="27">
        <v>11122.827906348981</v>
      </c>
      <c r="C59" s="27">
        <v>667369.67438093887</v>
      </c>
      <c r="D59" s="27">
        <v>143869.67438093887</v>
      </c>
    </row>
    <row r="60" spans="1:4">
      <c r="A60" s="7">
        <v>524000</v>
      </c>
      <c r="B60" s="27">
        <v>11133.451428704613</v>
      </c>
      <c r="C60" s="27">
        <v>668007.08572227682</v>
      </c>
      <c r="D60" s="27">
        <v>144007.08572227682</v>
      </c>
    </row>
    <row r="61" spans="1:4">
      <c r="A61" s="7">
        <v>524500</v>
      </c>
      <c r="B61" s="27">
        <v>11144.074951060249</v>
      </c>
      <c r="C61" s="27">
        <v>668644.49706361489</v>
      </c>
      <c r="D61" s="27">
        <v>144144.49706361489</v>
      </c>
    </row>
    <row r="62" spans="1:4">
      <c r="A62" s="7">
        <v>525000</v>
      </c>
      <c r="B62" s="27">
        <v>11154.698473415881</v>
      </c>
      <c r="C62" s="27">
        <v>669281.90840495285</v>
      </c>
      <c r="D62" s="27">
        <v>144281.90840495285</v>
      </c>
    </row>
    <row r="63" spans="1:4">
      <c r="A63" s="7">
        <v>525500</v>
      </c>
      <c r="B63" s="27">
        <v>11165.321995771517</v>
      </c>
      <c r="C63" s="27">
        <v>669919.31974629103</v>
      </c>
      <c r="D63" s="27">
        <v>144419.31974629103</v>
      </c>
    </row>
    <row r="64" spans="1:4">
      <c r="A64" s="7">
        <v>526000</v>
      </c>
      <c r="B64" s="27">
        <v>11175.945518127151</v>
      </c>
      <c r="C64" s="27">
        <v>670556.7310876291</v>
      </c>
      <c r="D64" s="27">
        <v>144556.7310876291</v>
      </c>
    </row>
    <row r="65" spans="1:4">
      <c r="A65" s="7">
        <v>526500</v>
      </c>
      <c r="B65" s="27">
        <v>11186.569040482784</v>
      </c>
      <c r="C65" s="27">
        <v>671194.14242896705</v>
      </c>
      <c r="D65" s="27">
        <v>144694.14242896705</v>
      </c>
    </row>
    <row r="66" spans="1:4">
      <c r="A66" s="7">
        <v>527000</v>
      </c>
      <c r="B66" s="27">
        <v>11197.19256283842</v>
      </c>
      <c r="C66" s="27">
        <v>671831.55377030512</v>
      </c>
      <c r="D66" s="27">
        <v>144831.55377030512</v>
      </c>
    </row>
    <row r="67" spans="1:4">
      <c r="A67" s="7">
        <v>527500</v>
      </c>
      <c r="B67" s="27">
        <v>11207.816085194054</v>
      </c>
      <c r="C67" s="27">
        <v>672468.96511164319</v>
      </c>
      <c r="D67" s="27">
        <v>144968.96511164319</v>
      </c>
    </row>
    <row r="68" spans="1:4">
      <c r="A68" s="7">
        <v>528000</v>
      </c>
      <c r="B68" s="27">
        <v>11218.439607549688</v>
      </c>
      <c r="C68" s="27">
        <v>673106.37645298126</v>
      </c>
      <c r="D68" s="27">
        <v>145106.37645298126</v>
      </c>
    </row>
    <row r="69" spans="1:4">
      <c r="A69" s="7">
        <v>528500</v>
      </c>
      <c r="B69" s="27">
        <v>11229.063129905322</v>
      </c>
      <c r="C69" s="27">
        <v>673743.78779431933</v>
      </c>
      <c r="D69" s="27">
        <v>145243.78779431933</v>
      </c>
    </row>
    <row r="70" spans="1:4">
      <c r="A70" s="7">
        <v>529000</v>
      </c>
      <c r="B70" s="27">
        <v>11239.686652260956</v>
      </c>
      <c r="C70" s="27">
        <v>674381.1991356574</v>
      </c>
      <c r="D70" s="27">
        <v>145381.1991356574</v>
      </c>
    </row>
    <row r="71" spans="1:4">
      <c r="A71" s="7" t="s">
        <v>20</v>
      </c>
      <c r="B71" s="27">
        <v>644964.66573290632</v>
      </c>
      <c r="C71" s="27">
        <v>38697879.943974376</v>
      </c>
      <c r="D71" s="27">
        <v>8342379.9439743795</v>
      </c>
    </row>
  </sheetData>
  <mergeCells count="2">
    <mergeCell ref="E22:F22"/>
    <mergeCell ref="E7:F7"/>
  </mergeCells>
  <conditionalFormatting pivot="1" sqref="B12:B70">
    <cfRule type="cellIs" dxfId="18" priority="6" operator="equal">
      <formula>11239.68665</formula>
    </cfRule>
  </conditionalFormatting>
  <conditionalFormatting pivot="1" sqref="B12:B70">
    <cfRule type="cellIs" dxfId="17" priority="5" operator="greaterThan">
      <formula>11931.6045</formula>
    </cfRule>
  </conditionalFormatting>
  <conditionalFormatting pivot="1" sqref="B12:B70">
    <cfRule type="cellIs" dxfId="16" priority="4" operator="greaterThan">
      <formula>10931.6045</formula>
    </cfRule>
  </conditionalFormatting>
  <conditionalFormatting pivot="1" sqref="B12:B40">
    <cfRule type="cellIs" dxfId="15" priority="3" operator="lessThan">
      <formula>10931</formula>
    </cfRule>
  </conditionalFormatting>
  <conditionalFormatting pivot="1" sqref="D12:D70">
    <cfRule type="cellIs" dxfId="14" priority="2" operator="lessThan">
      <formula>141396.2702</formula>
    </cfRule>
  </conditionalFormatting>
  <conditionalFormatting pivot="1" sqref="D41:D70">
    <cfRule type="cellIs" dxfId="8" priority="1" operator="greaterThan">
      <formula>141258</formula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2026-02-13T06:27:21Z</dcterms:created>
  <dcterms:modified xsi:type="dcterms:W3CDTF">2026-02-13T14:26:58Z</dcterms:modified>
</cp:coreProperties>
</file>