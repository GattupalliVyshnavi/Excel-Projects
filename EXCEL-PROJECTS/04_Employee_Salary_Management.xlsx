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2" sheetId="7" r:id="rId1"/>
    <sheet name="Sheet1" sheetId="1" r:id="rId2"/>
    <sheet name="Sheet3" sheetId="8" r:id="rId3"/>
  </sheets>
  <calcPr calcId="124519"/>
  <pivotCaches>
    <pivotCache cacheId="10" r:id="rId4"/>
  </pivotCaches>
</workbook>
</file>

<file path=xl/calcChain.xml><?xml version="1.0" encoding="utf-8"?>
<calcChain xmlns="http://schemas.openxmlformats.org/spreadsheetml/2006/main">
  <c r="K3" i="1"/>
  <c r="K4"/>
  <c r="K5"/>
  <c r="K6"/>
  <c r="K2"/>
  <c r="N3"/>
  <c r="N4"/>
  <c r="N5"/>
  <c r="N6"/>
  <c r="N2"/>
  <c r="O3"/>
  <c r="O4"/>
  <c r="O5"/>
  <c r="O6"/>
  <c r="O2"/>
  <c r="M3"/>
  <c r="M4"/>
  <c r="M5"/>
  <c r="M6"/>
  <c r="M2"/>
  <c r="L6"/>
  <c r="L3"/>
  <c r="L4"/>
  <c r="L5"/>
  <c r="L2"/>
  <c r="G3"/>
  <c r="G4"/>
  <c r="G5"/>
  <c r="F3"/>
  <c r="F4"/>
  <c r="F5"/>
  <c r="F6"/>
  <c r="G6" s="1"/>
  <c r="F2"/>
  <c r="G2" s="1"/>
</calcChain>
</file>

<file path=xl/sharedStrings.xml><?xml version="1.0" encoding="utf-8"?>
<sst xmlns="http://schemas.openxmlformats.org/spreadsheetml/2006/main" count="32" uniqueCount="22">
  <si>
    <t>Emp ID</t>
  </si>
  <si>
    <t>Name</t>
  </si>
  <si>
    <t>Dept</t>
  </si>
  <si>
    <t>Salary</t>
  </si>
  <si>
    <t>Bonus %</t>
  </si>
  <si>
    <t>Ravi</t>
  </si>
  <si>
    <t>HR</t>
  </si>
  <si>
    <t>Sita</t>
  </si>
  <si>
    <t>IT</t>
  </si>
  <si>
    <t>John</t>
  </si>
  <si>
    <t>Sales</t>
  </si>
  <si>
    <t>Anu</t>
  </si>
  <si>
    <t>Raj</t>
  </si>
  <si>
    <t>Bonus Amount</t>
  </si>
  <si>
    <t>Net Salary</t>
  </si>
  <si>
    <t>Row Labels</t>
  </si>
  <si>
    <t>Grand Total</t>
  </si>
  <si>
    <t>Department-wise Salary Report</t>
  </si>
  <si>
    <t>Total Net Salary</t>
  </si>
  <si>
    <t>IT department has highest salary expense</t>
  </si>
  <si>
    <t>Anu gets highest net salary</t>
  </si>
  <si>
    <t>HR department salary is moderate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</si>
</sst>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3">
    <dxf>
      <font>
        <condense val="0"/>
        <extend val="0"/>
        <color rgb="FF006100"/>
      </font>
      <fill>
        <patternFill>
          <bgColor rgb="FFC6EFCE"/>
        </patternFill>
      </fill>
    </dxf>
    <dxf>
      <alignment horizontal="left" readingOrder="0"/>
    </dxf>
    <dxf>
      <alignment horizontal="left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5.712592013886" createdVersion="3" refreshedVersion="3" minRefreshableVersion="3" recordCount="5">
  <cacheSource type="worksheet">
    <worksheetSource ref="A1:G6" sheet="Sheet1"/>
  </cacheSource>
  <cacheFields count="7">
    <cacheField name="Emp ID" numFmtId="0">
      <sharedItems containsSemiMixedTypes="0" containsString="0" containsNumber="1" containsInteger="1" minValue="201" maxValue="205"/>
    </cacheField>
    <cacheField name="Name" numFmtId="0">
      <sharedItems/>
    </cacheField>
    <cacheField name="Dept" numFmtId="0">
      <sharedItems count="3">
        <s v="HR"/>
        <s v="IT"/>
        <s v="Sales"/>
      </sharedItems>
    </cacheField>
    <cacheField name="Salary" numFmtId="0">
      <sharedItems containsSemiMixedTypes="0" containsString="0" containsNumber="1" containsInteger="1" minValue="25000" maxValue="40000"/>
    </cacheField>
    <cacheField name="Bonus %" numFmtId="9">
      <sharedItems containsSemiMixedTypes="0" containsString="0" containsNumber="1" minValue="0.08" maxValue="0.15"/>
    </cacheField>
    <cacheField name="Bonus Amount" numFmtId="0">
      <sharedItems containsSemiMixedTypes="0" containsString="0" containsNumber="1" containsInteger="1" minValue="2400" maxValue="6000"/>
    </cacheField>
    <cacheField name="Net Salary" numFmtId="0">
      <sharedItems containsSemiMixedTypes="0" containsString="0" containsNumber="1" containsInteger="1" minValue="27500" maxValue="46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n v="201"/>
    <s v="Ravi"/>
    <x v="0"/>
    <n v="25000"/>
    <n v="0.1"/>
    <n v="2500"/>
    <n v="27500"/>
  </r>
  <r>
    <n v="202"/>
    <s v="Sita"/>
    <x v="1"/>
    <n v="35000"/>
    <n v="0.12"/>
    <n v="4200"/>
    <n v="39200"/>
  </r>
  <r>
    <n v="203"/>
    <s v="John"/>
    <x v="2"/>
    <n v="30000"/>
    <n v="0.08"/>
    <n v="2400"/>
    <n v="32400"/>
  </r>
  <r>
    <n v="204"/>
    <s v="Anu"/>
    <x v="1"/>
    <n v="40000"/>
    <n v="0.15"/>
    <n v="6000"/>
    <n v="46000"/>
  </r>
  <r>
    <n v="205"/>
    <s v="Raj"/>
    <x v="0"/>
    <n v="28000"/>
    <n v="0.1"/>
    <n v="2800"/>
    <n v="30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9"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Net Salary" fld="6" baseField="0" baseItem="0"/>
  </dataFields>
  <formats count="2">
    <format dxfId="2">
      <pivotArea collapsedLevelsAreSubtotals="1" fieldPosition="0">
        <references count="1">
          <reference field="2" count="0"/>
        </references>
      </pivotArea>
    </format>
    <format dxfId="1">
      <pivotArea grandRow="1"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J18" sqref="J18"/>
    </sheetView>
  </sheetViews>
  <sheetFormatPr defaultRowHeight="15"/>
  <cols>
    <col min="1" max="1" width="13.140625" customWidth="1"/>
    <col min="2" max="2" width="26" customWidth="1"/>
  </cols>
  <sheetData>
    <row r="1" spans="1:2">
      <c r="A1" s="8" t="s">
        <v>17</v>
      </c>
      <c r="B1" s="7"/>
    </row>
    <row r="2" spans="1:2">
      <c r="A2" s="7"/>
      <c r="B2" s="7"/>
    </row>
    <row r="3" spans="1:2">
      <c r="A3" s="6" t="s">
        <v>15</v>
      </c>
      <c r="B3" t="s">
        <v>18</v>
      </c>
    </row>
    <row r="4" spans="1:2">
      <c r="A4" s="5" t="s">
        <v>6</v>
      </c>
      <c r="B4" s="9">
        <v>58300</v>
      </c>
    </row>
    <row r="5" spans="1:2">
      <c r="A5" s="5" t="s">
        <v>8</v>
      </c>
      <c r="B5" s="9">
        <v>85200</v>
      </c>
    </row>
    <row r="6" spans="1:2">
      <c r="A6" s="5" t="s">
        <v>10</v>
      </c>
      <c r="B6" s="9">
        <v>32400</v>
      </c>
    </row>
    <row r="7" spans="1:2">
      <c r="A7" s="5" t="s">
        <v>16</v>
      </c>
      <c r="B7" s="9">
        <v>175900</v>
      </c>
    </row>
  </sheetData>
  <mergeCells count="1">
    <mergeCell ref="A1:B2"/>
  </mergeCells>
  <conditionalFormatting pivot="1" sqref="B4:B6">
    <cfRule type="cellIs" dxfId="0" priority="1" operator="greaterThan">
      <formula>45000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>
      <selection activeCell="M14" sqref="M14"/>
    </sheetView>
  </sheetViews>
  <sheetFormatPr defaultRowHeight="15"/>
  <cols>
    <col min="6" max="6" width="16.28515625" customWidth="1"/>
    <col min="7" max="7" width="12.42578125" customWidth="1"/>
    <col min="11" max="11" width="12" customWidth="1"/>
    <col min="12" max="12" width="12.140625" customWidth="1"/>
    <col min="13" max="13" width="14.85546875" customWidth="1"/>
    <col min="14" max="14" width="13.5703125" customWidth="1"/>
    <col min="15" max="15" width="12.28515625" customWidth="1"/>
  </cols>
  <sheetData>
    <row r="1" spans="1:15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14</v>
      </c>
    </row>
    <row r="2" spans="1:15">
      <c r="A2" s="3">
        <v>201</v>
      </c>
      <c r="B2" s="2" t="s">
        <v>5</v>
      </c>
      <c r="C2" s="2" t="s">
        <v>6</v>
      </c>
      <c r="D2" s="3">
        <v>25000</v>
      </c>
      <c r="E2" s="4">
        <v>0.1</v>
      </c>
      <c r="F2" s="5">
        <f>D2*E2</f>
        <v>2500</v>
      </c>
      <c r="G2" s="5">
        <f>D2+F2</f>
        <v>27500</v>
      </c>
      <c r="K2" s="5">
        <f>VLOOKUP(A2,A:G, 1, FALSE)</f>
        <v>201</v>
      </c>
      <c r="L2" t="str">
        <f>VLOOKUP(A2,A:G, 2, FALSE)</f>
        <v>Ravi</v>
      </c>
      <c r="M2" t="str">
        <f>VLOOKUP(A2,A:G, 3, FALSE)</f>
        <v>HR</v>
      </c>
      <c r="N2" s="5">
        <f>VLOOKUP(A2,A:G, 4, FALSE)</f>
        <v>25000</v>
      </c>
      <c r="O2" s="5">
        <f>VLOOKUP(A2,A:G, 7, FALSE)</f>
        <v>27500</v>
      </c>
    </row>
    <row r="3" spans="1:15">
      <c r="A3" s="3">
        <v>202</v>
      </c>
      <c r="B3" s="2" t="s">
        <v>7</v>
      </c>
      <c r="C3" s="2" t="s">
        <v>8</v>
      </c>
      <c r="D3" s="3">
        <v>35000</v>
      </c>
      <c r="E3" s="4">
        <v>0.12</v>
      </c>
      <c r="F3" s="5">
        <f t="shared" ref="F3:F6" si="0">D3*E3</f>
        <v>4200</v>
      </c>
      <c r="G3" s="5">
        <f t="shared" ref="G3:G6" si="1">D3+F3</f>
        <v>39200</v>
      </c>
      <c r="K3" s="5">
        <f t="shared" ref="K3:K6" si="2">VLOOKUP(A3,A:G, 1, FALSE)</f>
        <v>202</v>
      </c>
      <c r="L3" t="str">
        <f>VLOOKUP(A3,A:G, 2, FALSE)</f>
        <v>Sita</v>
      </c>
      <c r="M3" t="str">
        <f>VLOOKUP(A3,A:G, 3, FALSE)</f>
        <v>IT</v>
      </c>
      <c r="N3" s="5">
        <f t="shared" ref="N3:N6" si="3">VLOOKUP(A3,A:G, 4, FALSE)</f>
        <v>35000</v>
      </c>
      <c r="O3" s="5">
        <f t="shared" ref="O3:O6" si="4">VLOOKUP(A3,A:G, 7, FALSE)</f>
        <v>39200</v>
      </c>
    </row>
    <row r="4" spans="1:15">
      <c r="A4" s="3">
        <v>203</v>
      </c>
      <c r="B4" s="2" t="s">
        <v>9</v>
      </c>
      <c r="C4" s="2" t="s">
        <v>10</v>
      </c>
      <c r="D4" s="3">
        <v>30000</v>
      </c>
      <c r="E4" s="4">
        <v>0.08</v>
      </c>
      <c r="F4" s="5">
        <f t="shared" si="0"/>
        <v>2400</v>
      </c>
      <c r="G4" s="5">
        <f t="shared" si="1"/>
        <v>32400</v>
      </c>
      <c r="K4" s="5">
        <f t="shared" si="2"/>
        <v>203</v>
      </c>
      <c r="L4" t="str">
        <f>VLOOKUP(A4,A:G, 2, FALSE)</f>
        <v>John</v>
      </c>
      <c r="M4" t="str">
        <f>VLOOKUP(A4,A:G, 3, FALSE)</f>
        <v>Sales</v>
      </c>
      <c r="N4" s="5">
        <f t="shared" si="3"/>
        <v>30000</v>
      </c>
      <c r="O4" s="5">
        <f t="shared" si="4"/>
        <v>32400</v>
      </c>
    </row>
    <row r="5" spans="1:15">
      <c r="A5" s="3">
        <v>204</v>
      </c>
      <c r="B5" s="2" t="s">
        <v>11</v>
      </c>
      <c r="C5" s="2" t="s">
        <v>8</v>
      </c>
      <c r="D5" s="3">
        <v>40000</v>
      </c>
      <c r="E5" s="4">
        <v>0.15</v>
      </c>
      <c r="F5" s="5">
        <f t="shared" si="0"/>
        <v>6000</v>
      </c>
      <c r="G5" s="5">
        <f t="shared" si="1"/>
        <v>46000</v>
      </c>
      <c r="K5" s="5">
        <f t="shared" si="2"/>
        <v>204</v>
      </c>
      <c r="L5" t="str">
        <f>VLOOKUP(A5,A:G, 2, FALSE)</f>
        <v>Anu</v>
      </c>
      <c r="M5" t="str">
        <f>VLOOKUP(A5,A:G, 3, FALSE)</f>
        <v>IT</v>
      </c>
      <c r="N5" s="5">
        <f t="shared" si="3"/>
        <v>40000</v>
      </c>
      <c r="O5" s="5">
        <f t="shared" si="4"/>
        <v>46000</v>
      </c>
    </row>
    <row r="6" spans="1:15">
      <c r="A6" s="3">
        <v>205</v>
      </c>
      <c r="B6" s="2" t="s">
        <v>12</v>
      </c>
      <c r="C6" s="2" t="s">
        <v>6</v>
      </c>
      <c r="D6" s="3">
        <v>28000</v>
      </c>
      <c r="E6" s="4">
        <v>0.1</v>
      </c>
      <c r="F6" s="5">
        <f t="shared" si="0"/>
        <v>2800</v>
      </c>
      <c r="G6" s="5">
        <f t="shared" si="1"/>
        <v>30800</v>
      </c>
      <c r="K6" s="5">
        <f t="shared" si="2"/>
        <v>205</v>
      </c>
      <c r="L6" t="str">
        <f>VLOOKUP(A6,A:G, 2, FALSE)</f>
        <v>Raj</v>
      </c>
      <c r="M6" t="str">
        <f>VLOOKUP(A6,A:G, 3, FALSE)</f>
        <v>HR</v>
      </c>
      <c r="N6" s="5">
        <f t="shared" si="3"/>
        <v>28000</v>
      </c>
      <c r="O6" s="5">
        <f t="shared" si="4"/>
        <v>30800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23" sqref="B23"/>
    </sheetView>
  </sheetViews>
  <sheetFormatPr defaultRowHeight="15"/>
  <cols>
    <col min="1" max="1" width="39.85546875" customWidth="1"/>
  </cols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2026-02-12T11:20:37Z</dcterms:created>
  <dcterms:modified xsi:type="dcterms:W3CDTF">2026-02-12T11:53:10Z</dcterms:modified>
</cp:coreProperties>
</file>